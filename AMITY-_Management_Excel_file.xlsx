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shivam\Desktop\Amity\Amity MBA REPORTS\"/>
    </mc:Choice>
  </mc:AlternateContent>
  <xr:revisionPtr revIDLastSave="0" documentId="8_{CF7F3962-7F5D-4795-BD84-9F6EEA4394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lected List" sheetId="4" r:id="rId1"/>
  </sheets>
  <definedNames>
    <definedName name="_xlnm._FilterDatabase" localSheetId="0" hidden="1">'Selected List'!$AM$4:$AM$116</definedName>
  </definedNames>
  <calcPr calcId="191029"/>
</workbook>
</file>

<file path=xl/calcChain.xml><?xml version="1.0" encoding="utf-8"?>
<calcChain xmlns="http://schemas.openxmlformats.org/spreadsheetml/2006/main">
  <c r="AK85" i="4" l="1"/>
  <c r="AK84" i="4"/>
  <c r="AK87" i="4"/>
  <c r="AK94" i="4"/>
  <c r="AK78" i="4"/>
  <c r="AK107" i="4"/>
  <c r="AK108" i="4"/>
  <c r="AK58" i="4"/>
  <c r="AK61" i="4"/>
  <c r="AK97" i="4"/>
  <c r="AK65" i="4"/>
  <c r="AK86" i="4"/>
  <c r="AK53" i="4"/>
  <c r="AK72" i="4"/>
  <c r="AK79" i="4"/>
  <c r="AK109" i="4"/>
  <c r="AK55" i="4"/>
  <c r="AK83" i="4"/>
  <c r="AK82" i="4"/>
  <c r="AK62" i="4"/>
  <c r="AK105" i="4"/>
  <c r="AK90" i="4"/>
  <c r="AK57" i="4"/>
  <c r="AK54" i="4"/>
  <c r="AK52" i="4"/>
  <c r="AK91" i="4"/>
  <c r="AK104" i="4"/>
  <c r="AK81" i="4"/>
  <c r="AK59" i="4"/>
  <c r="AK88" i="4"/>
  <c r="AK110" i="4"/>
  <c r="AK102" i="4"/>
  <c r="AK111" i="4"/>
  <c r="AK60" i="4"/>
  <c r="AK50" i="4"/>
  <c r="AK100" i="4"/>
  <c r="AK56" i="4"/>
  <c r="AK92" i="4"/>
  <c r="AK99" i="4"/>
  <c r="AK96" i="4"/>
  <c r="AK74" i="4"/>
  <c r="AK51" i="4"/>
  <c r="AK69" i="4"/>
  <c r="AK4" i="4"/>
  <c r="AK89" i="4"/>
  <c r="AK101" i="4"/>
  <c r="AK5" i="4"/>
  <c r="AK6" i="4"/>
  <c r="AK7" i="4"/>
  <c r="AK95" i="4"/>
  <c r="AK8" i="4"/>
  <c r="AK9" i="4"/>
  <c r="AK98" i="4"/>
  <c r="AK10" i="4"/>
  <c r="AK11" i="4"/>
  <c r="AK12" i="4"/>
  <c r="AK76" i="4"/>
  <c r="AK112" i="4"/>
  <c r="AK13" i="4"/>
  <c r="AK14" i="4"/>
  <c r="AK80" i="4"/>
  <c r="AK15" i="4"/>
  <c r="AK113" i="4"/>
  <c r="AK67" i="4"/>
  <c r="AK16" i="4"/>
  <c r="AK17" i="4"/>
  <c r="AK77" i="4"/>
  <c r="AK46" i="4"/>
  <c r="AK18" i="4"/>
  <c r="AK19" i="4"/>
  <c r="AK114" i="4"/>
  <c r="AK20" i="4"/>
  <c r="AK21" i="4"/>
  <c r="AK63" i="4"/>
  <c r="AK70" i="4"/>
  <c r="AK47" i="4"/>
  <c r="AK22" i="4"/>
  <c r="AK103" i="4"/>
  <c r="AK23" i="4"/>
  <c r="AK24" i="4"/>
  <c r="AK25" i="4"/>
  <c r="AK26" i="4"/>
  <c r="AK27" i="4"/>
  <c r="AK28" i="4"/>
  <c r="AK29" i="4"/>
  <c r="AK115" i="4"/>
  <c r="AK64" i="4"/>
  <c r="AK30" i="4"/>
  <c r="AK71" i="4"/>
  <c r="AK31" i="4"/>
  <c r="AK106" i="4"/>
  <c r="AK66" i="4"/>
  <c r="AK32" i="4"/>
  <c r="AK33" i="4"/>
  <c r="AK93" i="4"/>
  <c r="AK34" i="4"/>
  <c r="AK35" i="4"/>
  <c r="AK36" i="4"/>
  <c r="AK37" i="4"/>
  <c r="AK38" i="4"/>
  <c r="AK39" i="4"/>
  <c r="AK40" i="4"/>
  <c r="AK75" i="4"/>
  <c r="AK41" i="4"/>
  <c r="AK42" i="4"/>
  <c r="AK48" i="4"/>
  <c r="AK68" i="4"/>
  <c r="AK116" i="4"/>
  <c r="AK43" i="4"/>
  <c r="AK45" i="4"/>
  <c r="AK44" i="4"/>
  <c r="AK73" i="4"/>
  <c r="AK49" i="4"/>
  <c r="AC65" i="4"/>
  <c r="AC86" i="4"/>
  <c r="AC53" i="4"/>
  <c r="AC72" i="4"/>
  <c r="AC79" i="4"/>
  <c r="AC109" i="4"/>
  <c r="AC55" i="4"/>
  <c r="AC83" i="4"/>
  <c r="AC82" i="4"/>
  <c r="AC62" i="4"/>
  <c r="AC105" i="4"/>
  <c r="AC90" i="4"/>
  <c r="AC57" i="4"/>
  <c r="AC54" i="4"/>
  <c r="AC52" i="4"/>
  <c r="AC91" i="4"/>
  <c r="AC104" i="4"/>
  <c r="AC81" i="4"/>
  <c r="AC59" i="4"/>
  <c r="AC88" i="4"/>
  <c r="AC110" i="4"/>
  <c r="AC102" i="4"/>
  <c r="AC111" i="4"/>
  <c r="AC60" i="4"/>
  <c r="AC50" i="4"/>
  <c r="AC100" i="4"/>
  <c r="AC56" i="4"/>
  <c r="AC92" i="4"/>
  <c r="AC99" i="4"/>
  <c r="AC96" i="4"/>
  <c r="AC74" i="4"/>
  <c r="AC51" i="4"/>
  <c r="AC69" i="4"/>
  <c r="AC4" i="4"/>
  <c r="AC89" i="4"/>
  <c r="AC101" i="4"/>
  <c r="AC5" i="4"/>
  <c r="AC6" i="4"/>
  <c r="AC7" i="4"/>
  <c r="AC95" i="4"/>
  <c r="AC8" i="4"/>
  <c r="AC9" i="4"/>
  <c r="AC98" i="4"/>
  <c r="AC10" i="4"/>
  <c r="AC11" i="4"/>
  <c r="AC12" i="4"/>
  <c r="AC76" i="4"/>
  <c r="AC112" i="4"/>
  <c r="AC13" i="4"/>
  <c r="AC14" i="4"/>
  <c r="AC80" i="4"/>
  <c r="AC15" i="4"/>
  <c r="AC113" i="4"/>
  <c r="AC67" i="4"/>
  <c r="AC16" i="4"/>
  <c r="AC17" i="4"/>
  <c r="AC77" i="4"/>
  <c r="AC46" i="4"/>
  <c r="AC18" i="4"/>
  <c r="AC19" i="4"/>
  <c r="AC114" i="4"/>
  <c r="AC20" i="4"/>
  <c r="AC21" i="4"/>
  <c r="AC63" i="4"/>
  <c r="AC70" i="4"/>
  <c r="AC47" i="4"/>
  <c r="AC22" i="4"/>
  <c r="AC103" i="4"/>
  <c r="AC23" i="4"/>
  <c r="AC24" i="4"/>
  <c r="AC25" i="4"/>
  <c r="AC26" i="4"/>
  <c r="AC27" i="4"/>
  <c r="AC28" i="4"/>
  <c r="AC29" i="4"/>
  <c r="AC115" i="4"/>
  <c r="AC64" i="4"/>
  <c r="AC30" i="4"/>
  <c r="AC71" i="4"/>
  <c r="AC31" i="4"/>
  <c r="AC106" i="4"/>
  <c r="AC66" i="4"/>
  <c r="AC32" i="4"/>
  <c r="AC33" i="4"/>
  <c r="AC93" i="4"/>
  <c r="AC34" i="4"/>
  <c r="AC35" i="4"/>
  <c r="AC36" i="4"/>
  <c r="AC37" i="4"/>
  <c r="AC38" i="4"/>
  <c r="AC39" i="4"/>
  <c r="AC40" i="4"/>
  <c r="AC75" i="4"/>
  <c r="AC41" i="4"/>
  <c r="AC42" i="4"/>
  <c r="AC48" i="4"/>
  <c r="AC68" i="4"/>
  <c r="AC116" i="4"/>
  <c r="AC43" i="4"/>
  <c r="AC45" i="4"/>
  <c r="AC44" i="4"/>
  <c r="AC73" i="4"/>
  <c r="AC85" i="4"/>
  <c r="AC84" i="4"/>
  <c r="AC87" i="4"/>
  <c r="AC94" i="4"/>
  <c r="AC78" i="4"/>
  <c r="AC107" i="4"/>
  <c r="AC108" i="4"/>
  <c r="AC58" i="4"/>
  <c r="AC61" i="4"/>
  <c r="AC97" i="4"/>
  <c r="AC49" i="4"/>
  <c r="U85" i="4"/>
  <c r="U84" i="4"/>
  <c r="U87" i="4"/>
  <c r="U94" i="4"/>
  <c r="U78" i="4"/>
  <c r="U107" i="4"/>
  <c r="U108" i="4"/>
  <c r="U58" i="4"/>
  <c r="U61" i="4"/>
  <c r="U97" i="4"/>
  <c r="U65" i="4"/>
  <c r="U86" i="4"/>
  <c r="U53" i="4"/>
  <c r="U72" i="4"/>
  <c r="U79" i="4"/>
  <c r="U109" i="4"/>
  <c r="U55" i="4"/>
  <c r="U83" i="4"/>
  <c r="U82" i="4"/>
  <c r="U62" i="4"/>
  <c r="U105" i="4"/>
  <c r="U90" i="4"/>
  <c r="U57" i="4"/>
  <c r="U54" i="4"/>
  <c r="U52" i="4"/>
  <c r="U91" i="4"/>
  <c r="U104" i="4"/>
  <c r="U81" i="4"/>
  <c r="U59" i="4"/>
  <c r="U88" i="4"/>
  <c r="U110" i="4"/>
  <c r="U102" i="4"/>
  <c r="U111" i="4"/>
  <c r="U60" i="4"/>
  <c r="U50" i="4"/>
  <c r="U100" i="4"/>
  <c r="U56" i="4"/>
  <c r="U92" i="4"/>
  <c r="U99" i="4"/>
  <c r="U96" i="4"/>
  <c r="U74" i="4"/>
  <c r="U51" i="4"/>
  <c r="U69" i="4"/>
  <c r="U4" i="4"/>
  <c r="U89" i="4"/>
  <c r="U101" i="4"/>
  <c r="U5" i="4"/>
  <c r="U6" i="4"/>
  <c r="U7" i="4"/>
  <c r="U95" i="4"/>
  <c r="U8" i="4"/>
  <c r="U9" i="4"/>
  <c r="U98" i="4"/>
  <c r="U10" i="4"/>
  <c r="U11" i="4"/>
  <c r="U12" i="4"/>
  <c r="U76" i="4"/>
  <c r="U112" i="4"/>
  <c r="U13" i="4"/>
  <c r="U14" i="4"/>
  <c r="U80" i="4"/>
  <c r="U15" i="4"/>
  <c r="U113" i="4"/>
  <c r="U67" i="4"/>
  <c r="U16" i="4"/>
  <c r="U17" i="4"/>
  <c r="U77" i="4"/>
  <c r="U46" i="4"/>
  <c r="U18" i="4"/>
  <c r="U19" i="4"/>
  <c r="U114" i="4"/>
  <c r="U20" i="4"/>
  <c r="U21" i="4"/>
  <c r="U63" i="4"/>
  <c r="U70" i="4"/>
  <c r="U47" i="4"/>
  <c r="U22" i="4"/>
  <c r="U103" i="4"/>
  <c r="U23" i="4"/>
  <c r="U24" i="4"/>
  <c r="U25" i="4"/>
  <c r="U26" i="4"/>
  <c r="U27" i="4"/>
  <c r="U28" i="4"/>
  <c r="U29" i="4"/>
  <c r="U115" i="4"/>
  <c r="U64" i="4"/>
  <c r="U30" i="4"/>
  <c r="U71" i="4"/>
  <c r="U31" i="4"/>
  <c r="U106" i="4"/>
  <c r="U66" i="4"/>
  <c r="U32" i="4"/>
  <c r="U33" i="4"/>
  <c r="U93" i="4"/>
  <c r="U34" i="4"/>
  <c r="U35" i="4"/>
  <c r="U36" i="4"/>
  <c r="U37" i="4"/>
  <c r="U38" i="4"/>
  <c r="U39" i="4"/>
  <c r="U40" i="4"/>
  <c r="U75" i="4"/>
  <c r="U41" i="4"/>
  <c r="U42" i="4"/>
  <c r="U48" i="4"/>
  <c r="U68" i="4"/>
  <c r="U116" i="4"/>
  <c r="U43" i="4"/>
  <c r="U45" i="4"/>
  <c r="U44" i="4"/>
  <c r="U73" i="4"/>
  <c r="U49" i="4"/>
  <c r="M49" i="4"/>
  <c r="M85" i="4"/>
  <c r="M84" i="4"/>
  <c r="M87" i="4"/>
  <c r="M94" i="4"/>
  <c r="M78" i="4"/>
  <c r="M107" i="4"/>
  <c r="M108" i="4"/>
  <c r="M58" i="4"/>
  <c r="M61" i="4"/>
  <c r="M97" i="4"/>
  <c r="M65" i="4"/>
  <c r="M86" i="4"/>
  <c r="M53" i="4"/>
  <c r="M72" i="4"/>
  <c r="M79" i="4"/>
  <c r="M109" i="4"/>
  <c r="M55" i="4"/>
  <c r="M83" i="4"/>
  <c r="M82" i="4"/>
  <c r="M62" i="4"/>
  <c r="M105" i="4"/>
  <c r="M90" i="4"/>
  <c r="M57" i="4"/>
  <c r="M54" i="4"/>
  <c r="M52" i="4"/>
  <c r="M91" i="4"/>
  <c r="M104" i="4"/>
  <c r="M81" i="4"/>
  <c r="M59" i="4"/>
  <c r="M88" i="4"/>
  <c r="M110" i="4"/>
  <c r="M102" i="4"/>
  <c r="M111" i="4"/>
  <c r="M60" i="4"/>
  <c r="M50" i="4"/>
  <c r="M100" i="4"/>
  <c r="M56" i="4"/>
  <c r="M92" i="4"/>
  <c r="M99" i="4"/>
  <c r="M96" i="4"/>
  <c r="M74" i="4"/>
  <c r="M51" i="4"/>
  <c r="M69" i="4"/>
  <c r="M4" i="4"/>
  <c r="M89" i="4"/>
  <c r="M101" i="4"/>
  <c r="M5" i="4"/>
  <c r="M6" i="4"/>
  <c r="M7" i="4"/>
  <c r="M95" i="4"/>
  <c r="M8" i="4"/>
  <c r="M9" i="4"/>
  <c r="M98" i="4"/>
  <c r="M10" i="4"/>
  <c r="M11" i="4"/>
  <c r="M12" i="4"/>
  <c r="M76" i="4"/>
  <c r="M112" i="4"/>
  <c r="M13" i="4"/>
  <c r="M14" i="4"/>
  <c r="M80" i="4"/>
  <c r="M15" i="4"/>
  <c r="M113" i="4"/>
  <c r="M67" i="4"/>
  <c r="M16" i="4"/>
  <c r="M17" i="4"/>
  <c r="M77" i="4"/>
  <c r="M46" i="4"/>
  <c r="M18" i="4"/>
  <c r="M19" i="4"/>
  <c r="M114" i="4"/>
  <c r="M20" i="4"/>
  <c r="M21" i="4"/>
  <c r="M63" i="4"/>
  <c r="M70" i="4"/>
  <c r="M47" i="4"/>
  <c r="M22" i="4"/>
  <c r="M103" i="4"/>
  <c r="M23" i="4"/>
  <c r="M24" i="4"/>
  <c r="M25" i="4"/>
  <c r="M26" i="4"/>
  <c r="M27" i="4"/>
  <c r="M28" i="4"/>
  <c r="M29" i="4"/>
  <c r="M115" i="4"/>
  <c r="M64" i="4"/>
  <c r="M30" i="4"/>
  <c r="M71" i="4"/>
  <c r="M31" i="4"/>
  <c r="M106" i="4"/>
  <c r="M66" i="4"/>
  <c r="M32" i="4"/>
  <c r="M33" i="4"/>
  <c r="M93" i="4"/>
  <c r="M34" i="4"/>
  <c r="M35" i="4"/>
  <c r="M36" i="4"/>
  <c r="M37" i="4"/>
  <c r="M38" i="4"/>
  <c r="M39" i="4"/>
  <c r="M40" i="4"/>
  <c r="M75" i="4"/>
  <c r="M41" i="4"/>
  <c r="M42" i="4"/>
  <c r="M48" i="4"/>
  <c r="M68" i="4"/>
  <c r="M116" i="4"/>
  <c r="M43" i="4"/>
  <c r="M45" i="4"/>
  <c r="M44" i="4"/>
  <c r="M73" i="4"/>
  <c r="Z73" i="4" l="1"/>
  <c r="Z44" i="4"/>
  <c r="Z45" i="4"/>
  <c r="Z43" i="4"/>
  <c r="Z116" i="4"/>
  <c r="Z68" i="4"/>
  <c r="Z48" i="4"/>
  <c r="Z42" i="4"/>
  <c r="Z41" i="4"/>
  <c r="Z75" i="4"/>
  <c r="Z40" i="4"/>
  <c r="Z39" i="4"/>
  <c r="Z38" i="4"/>
  <c r="Z37" i="4"/>
  <c r="Z36" i="4"/>
  <c r="Z35" i="4"/>
  <c r="Z34" i="4"/>
  <c r="Z93" i="4"/>
  <c r="Z33" i="4"/>
  <c r="Z32" i="4"/>
  <c r="Z66" i="4"/>
  <c r="Z106" i="4"/>
  <c r="Z31" i="4"/>
  <c r="Z71" i="4"/>
  <c r="Z30" i="4"/>
  <c r="Z64" i="4"/>
  <c r="Z115" i="4"/>
  <c r="Z29" i="4"/>
  <c r="Z28" i="4"/>
  <c r="Z27" i="4"/>
  <c r="Z26" i="4"/>
  <c r="Z25" i="4"/>
  <c r="Z24" i="4"/>
  <c r="Z23" i="4"/>
  <c r="Z103" i="4"/>
  <c r="Z22" i="4"/>
  <c r="Z47" i="4"/>
  <c r="Z70" i="4"/>
  <c r="Z63" i="4"/>
  <c r="Z21" i="4"/>
  <c r="Z20" i="4"/>
  <c r="Z114" i="4"/>
  <c r="Z19" i="4"/>
  <c r="Z18" i="4"/>
  <c r="Z46" i="4"/>
  <c r="Z77" i="4"/>
  <c r="Z17" i="4"/>
  <c r="Z16" i="4"/>
  <c r="Z67" i="4"/>
  <c r="Z113" i="4"/>
  <c r="Z15" i="4"/>
  <c r="Z80" i="4"/>
  <c r="Z14" i="4"/>
  <c r="Z13" i="4"/>
  <c r="Z112" i="4"/>
  <c r="Z76" i="4"/>
  <c r="Z12" i="4"/>
  <c r="Z11" i="4"/>
  <c r="Z10" i="4"/>
  <c r="Z98" i="4"/>
  <c r="Z9" i="4"/>
  <c r="Z8" i="4"/>
  <c r="Z95" i="4"/>
  <c r="Z7" i="4"/>
  <c r="Z6" i="4"/>
  <c r="Z5" i="4"/>
  <c r="Z101" i="4"/>
  <c r="Z89" i="4"/>
  <c r="Z4" i="4"/>
  <c r="Z69" i="4"/>
  <c r="Z51" i="4"/>
  <c r="Z74" i="4"/>
  <c r="Z96" i="4"/>
  <c r="Z99" i="4"/>
  <c r="Z92" i="4"/>
  <c r="Z56" i="4"/>
  <c r="Z100" i="4"/>
  <c r="Z50" i="4"/>
  <c r="Z60" i="4"/>
  <c r="Z111" i="4"/>
  <c r="Z102" i="4"/>
  <c r="Z110" i="4"/>
  <c r="Z88" i="4"/>
  <c r="Z59" i="4"/>
  <c r="Z81" i="4"/>
  <c r="Z104" i="4"/>
  <c r="Z91" i="4"/>
  <c r="Z52" i="4"/>
  <c r="Z54" i="4"/>
  <c r="Z57" i="4"/>
  <c r="Z90" i="4"/>
  <c r="Z105" i="4"/>
  <c r="Z62" i="4"/>
  <c r="Z82" i="4"/>
  <c r="Z83" i="4"/>
  <c r="Z55" i="4"/>
  <c r="Z109" i="4"/>
  <c r="Z79" i="4"/>
  <c r="Z72" i="4"/>
  <c r="Z53" i="4"/>
  <c r="Z86" i="4"/>
  <c r="Z65" i="4"/>
  <c r="Z97" i="4"/>
  <c r="Z61" i="4"/>
  <c r="Z58" i="4"/>
  <c r="Z108" i="4"/>
  <c r="Z107" i="4"/>
  <c r="Z78" i="4"/>
  <c r="Z94" i="4"/>
  <c r="Z87" i="4"/>
  <c r="Z84" i="4"/>
  <c r="Z85" i="4"/>
  <c r="Z49" i="4"/>
  <c r="AH99" i="4"/>
  <c r="AH96" i="4"/>
  <c r="AH74" i="4"/>
  <c r="AH51" i="4"/>
  <c r="AH69" i="4"/>
  <c r="AH4" i="4"/>
  <c r="AH89" i="4"/>
  <c r="AH101" i="4"/>
  <c r="AH5" i="4"/>
  <c r="AH6" i="4"/>
  <c r="AH7" i="4"/>
  <c r="AH95" i="4"/>
  <c r="AH8" i="4"/>
  <c r="AH9" i="4"/>
  <c r="AH98" i="4"/>
  <c r="AH10" i="4"/>
  <c r="AH11" i="4"/>
  <c r="AH12" i="4"/>
  <c r="AH76" i="4"/>
  <c r="AH112" i="4"/>
  <c r="AH13" i="4"/>
  <c r="AH14" i="4"/>
  <c r="AH80" i="4"/>
  <c r="AH15" i="4"/>
  <c r="AH113" i="4"/>
  <c r="AH67" i="4"/>
  <c r="AH16" i="4"/>
  <c r="AH17" i="4"/>
  <c r="AH77" i="4"/>
  <c r="AH46" i="4"/>
  <c r="AH18" i="4"/>
  <c r="AH19" i="4"/>
  <c r="AH114" i="4"/>
  <c r="AH20" i="4"/>
  <c r="AH21" i="4"/>
  <c r="AH63" i="4"/>
  <c r="AH70" i="4"/>
  <c r="AH47" i="4"/>
  <c r="AH22" i="4"/>
  <c r="AH103" i="4"/>
  <c r="AH23" i="4"/>
  <c r="AH24" i="4"/>
  <c r="AH25" i="4"/>
  <c r="AH26" i="4"/>
  <c r="AH27" i="4"/>
  <c r="AH28" i="4"/>
  <c r="AH29" i="4"/>
  <c r="AH115" i="4"/>
  <c r="AH64" i="4"/>
  <c r="AH30" i="4"/>
  <c r="AH71" i="4"/>
  <c r="AH31" i="4"/>
  <c r="AH106" i="4"/>
  <c r="AH66" i="4"/>
  <c r="AH32" i="4"/>
  <c r="AH33" i="4"/>
  <c r="AH93" i="4"/>
  <c r="AH34" i="4"/>
  <c r="AH35" i="4"/>
  <c r="AH36" i="4"/>
  <c r="AH37" i="4"/>
  <c r="AH38" i="4"/>
  <c r="AH39" i="4"/>
  <c r="AH40" i="4"/>
  <c r="AH75" i="4"/>
  <c r="AH41" i="4"/>
  <c r="AH42" i="4"/>
  <c r="AH48" i="4"/>
  <c r="AH68" i="4"/>
  <c r="AH116" i="4"/>
  <c r="AH43" i="4"/>
  <c r="AH45" i="4"/>
  <c r="AH44" i="4"/>
  <c r="AH73" i="4"/>
  <c r="AH85" i="4" l="1"/>
  <c r="AH84" i="4"/>
  <c r="AH87" i="4"/>
  <c r="AH94" i="4"/>
  <c r="AH78" i="4"/>
  <c r="AH107" i="4"/>
  <c r="AH108" i="4"/>
  <c r="AH58" i="4"/>
  <c r="AH61" i="4"/>
  <c r="AH97" i="4"/>
  <c r="AH65" i="4"/>
  <c r="AH86" i="4"/>
  <c r="AH53" i="4"/>
  <c r="AH72" i="4"/>
  <c r="AH79" i="4"/>
  <c r="AH109" i="4"/>
  <c r="AH55" i="4"/>
  <c r="AH83" i="4"/>
  <c r="AH82" i="4"/>
  <c r="AH62" i="4"/>
  <c r="AH105" i="4"/>
  <c r="AH90" i="4"/>
  <c r="AH57" i="4"/>
  <c r="AH54" i="4"/>
  <c r="AH52" i="4"/>
  <c r="AH91" i="4"/>
  <c r="AH104" i="4"/>
  <c r="AH81" i="4"/>
  <c r="AH59" i="4"/>
  <c r="AH88" i="4"/>
  <c r="AH110" i="4"/>
  <c r="AH102" i="4"/>
  <c r="AH111" i="4"/>
  <c r="AH60" i="4"/>
  <c r="AH50" i="4"/>
  <c r="AH100" i="4"/>
  <c r="AH56" i="4"/>
  <c r="AH92" i="4"/>
  <c r="J85" i="4"/>
  <c r="J84" i="4"/>
  <c r="J87" i="4"/>
  <c r="J94" i="4"/>
  <c r="J78" i="4"/>
  <c r="J107" i="4"/>
  <c r="J108" i="4"/>
  <c r="J58" i="4"/>
  <c r="J61" i="4"/>
  <c r="J97" i="4"/>
  <c r="J65" i="4"/>
  <c r="J86" i="4"/>
  <c r="J53" i="4"/>
  <c r="J72" i="4"/>
  <c r="J79" i="4"/>
  <c r="J109" i="4"/>
  <c r="J55" i="4"/>
  <c r="J83" i="4"/>
  <c r="J82" i="4"/>
  <c r="J62" i="4"/>
  <c r="AP62" i="4" s="1"/>
  <c r="J105" i="4"/>
  <c r="J90" i="4"/>
  <c r="J57" i="4"/>
  <c r="J54" i="4"/>
  <c r="J52" i="4"/>
  <c r="J91" i="4"/>
  <c r="J104" i="4"/>
  <c r="J81" i="4"/>
  <c r="J59" i="4"/>
  <c r="J88" i="4"/>
  <c r="J110" i="4"/>
  <c r="J102" i="4"/>
  <c r="AP102" i="4" s="1"/>
  <c r="J111" i="4"/>
  <c r="AP111" i="4" s="1"/>
  <c r="J60" i="4"/>
  <c r="J50" i="4"/>
  <c r="J100" i="4"/>
  <c r="J56" i="4"/>
  <c r="J92" i="4"/>
  <c r="J99" i="4"/>
  <c r="J96" i="4"/>
  <c r="J74" i="4"/>
  <c r="J51" i="4"/>
  <c r="J69" i="4"/>
  <c r="J4" i="4"/>
  <c r="AP4" i="4" s="1"/>
  <c r="J89" i="4"/>
  <c r="J101" i="4"/>
  <c r="AP101" i="4" s="1"/>
  <c r="J5" i="4"/>
  <c r="J6" i="4"/>
  <c r="J7" i="4"/>
  <c r="J95" i="4"/>
  <c r="J8" i="4"/>
  <c r="J9" i="4"/>
  <c r="J98" i="4"/>
  <c r="J10" i="4"/>
  <c r="J11" i="4"/>
  <c r="J12" i="4"/>
  <c r="AP12" i="4" s="1"/>
  <c r="J76" i="4"/>
  <c r="J112" i="4"/>
  <c r="J13" i="4"/>
  <c r="J14" i="4"/>
  <c r="J80" i="4"/>
  <c r="J15" i="4"/>
  <c r="J113" i="4"/>
  <c r="J67" i="4"/>
  <c r="J16" i="4"/>
  <c r="J17" i="4"/>
  <c r="J77" i="4"/>
  <c r="J46" i="4"/>
  <c r="J18" i="4"/>
  <c r="AP18" i="4" s="1"/>
  <c r="J19" i="4"/>
  <c r="AP19" i="4" s="1"/>
  <c r="J114" i="4"/>
  <c r="J20" i="4"/>
  <c r="J21" i="4"/>
  <c r="J63" i="4"/>
  <c r="J70" i="4"/>
  <c r="J47" i="4"/>
  <c r="J22" i="4"/>
  <c r="AP22" i="4" s="1"/>
  <c r="J103" i="4"/>
  <c r="J23" i="4"/>
  <c r="AP23" i="4" s="1"/>
  <c r="J24" i="4"/>
  <c r="AP24" i="4" s="1"/>
  <c r="J25" i="4"/>
  <c r="J26" i="4"/>
  <c r="AP26" i="4" s="1"/>
  <c r="J27" i="4"/>
  <c r="J28" i="4"/>
  <c r="J29" i="4"/>
  <c r="J115" i="4"/>
  <c r="J64" i="4"/>
  <c r="J30" i="4"/>
  <c r="J71" i="4"/>
  <c r="J31" i="4"/>
  <c r="J106" i="4"/>
  <c r="J66" i="4"/>
  <c r="AP66" i="4" s="1"/>
  <c r="J32" i="4"/>
  <c r="AP32" i="4" s="1"/>
  <c r="J33" i="4"/>
  <c r="AP33" i="4" s="1"/>
  <c r="J93" i="4"/>
  <c r="J34" i="4"/>
  <c r="J35" i="4"/>
  <c r="J36" i="4"/>
  <c r="J37" i="4"/>
  <c r="J38" i="4"/>
  <c r="J39" i="4"/>
  <c r="J40" i="4"/>
  <c r="J75" i="4"/>
  <c r="J41" i="4"/>
  <c r="AP41" i="4" s="1"/>
  <c r="J42" i="4"/>
  <c r="AP42" i="4" s="1"/>
  <c r="J48" i="4"/>
  <c r="AP48" i="4" s="1"/>
  <c r="J68" i="4"/>
  <c r="J116" i="4"/>
  <c r="J43" i="4"/>
  <c r="J45" i="4"/>
  <c r="J44" i="4"/>
  <c r="AP44" i="4" s="1"/>
  <c r="J73" i="4"/>
  <c r="AP73" i="4" s="1"/>
  <c r="J49" i="4"/>
  <c r="R114" i="4"/>
  <c r="R108" i="4"/>
  <c r="R47" i="4"/>
  <c r="R107" i="4"/>
  <c r="R46" i="4"/>
  <c r="R17" i="4"/>
  <c r="R111" i="4"/>
  <c r="R80" i="4"/>
  <c r="R31" i="4"/>
  <c r="R13" i="4"/>
  <c r="R116" i="4"/>
  <c r="R109" i="4"/>
  <c r="R72" i="4"/>
  <c r="R67" i="4"/>
  <c r="R89" i="4"/>
  <c r="R14" i="4"/>
  <c r="R112" i="4"/>
  <c r="R86" i="4"/>
  <c r="R73" i="4"/>
  <c r="R82" i="4"/>
  <c r="R22" i="4"/>
  <c r="R101" i="4"/>
  <c r="R115" i="4"/>
  <c r="R54" i="4"/>
  <c r="R91" i="4"/>
  <c r="R38" i="4"/>
  <c r="R64" i="4"/>
  <c r="R95" i="4"/>
  <c r="R97" i="4"/>
  <c r="R56" i="4"/>
  <c r="R43" i="4"/>
  <c r="R87" i="4"/>
  <c r="R16" i="4"/>
  <c r="R98" i="4"/>
  <c r="R90" i="4"/>
  <c r="R48" i="4"/>
  <c r="R40" i="4"/>
  <c r="R60" i="4"/>
  <c r="R49" i="4"/>
  <c r="R34" i="4"/>
  <c r="R25" i="4"/>
  <c r="R44" i="4"/>
  <c r="R4" i="4"/>
  <c r="R105" i="4"/>
  <c r="R7" i="4"/>
  <c r="R68" i="4"/>
  <c r="R51" i="4"/>
  <c r="R94" i="4"/>
  <c r="R81" i="4"/>
  <c r="R35" i="4"/>
  <c r="R42" i="4"/>
  <c r="R71" i="4"/>
  <c r="R15" i="4"/>
  <c r="R33" i="4"/>
  <c r="R23" i="4"/>
  <c r="R103" i="4"/>
  <c r="R102" i="4"/>
  <c r="R69" i="4"/>
  <c r="R113" i="4"/>
  <c r="R24" i="4"/>
  <c r="R30" i="4"/>
  <c r="R9" i="4"/>
  <c r="R70" i="4"/>
  <c r="R75" i="4"/>
  <c r="R74" i="4"/>
  <c r="R62" i="4"/>
  <c r="R58" i="4"/>
  <c r="R59" i="4"/>
  <c r="R78" i="4"/>
  <c r="R19" i="4"/>
  <c r="R18" i="4"/>
  <c r="R79" i="4"/>
  <c r="R50" i="4"/>
  <c r="R6" i="4"/>
  <c r="R77" i="4"/>
  <c r="R55" i="4"/>
  <c r="R37" i="4"/>
  <c r="R61" i="4"/>
  <c r="R84" i="4"/>
  <c r="R8" i="4"/>
  <c r="R27" i="4"/>
  <c r="R93" i="4"/>
  <c r="R66" i="4"/>
  <c r="R88" i="4"/>
  <c r="R39" i="4"/>
  <c r="R99" i="4"/>
  <c r="R104" i="4"/>
  <c r="R63" i="4"/>
  <c r="R76" i="4"/>
  <c r="R53" i="4"/>
  <c r="R85" i="4"/>
  <c r="R29" i="4"/>
  <c r="R110" i="4"/>
  <c r="R100" i="4"/>
  <c r="R12" i="4"/>
  <c r="R28" i="4"/>
  <c r="R83" i="4"/>
  <c r="R41" i="4"/>
  <c r="R106" i="4"/>
  <c r="R10" i="4"/>
  <c r="R20" i="4"/>
  <c r="R36" i="4"/>
  <c r="R52" i="4"/>
  <c r="R5" i="4"/>
  <c r="R26" i="4"/>
  <c r="R57" i="4"/>
  <c r="R65" i="4"/>
  <c r="R11" i="4"/>
  <c r="R32" i="4"/>
  <c r="R21" i="4"/>
  <c r="R45" i="4"/>
  <c r="R96" i="4"/>
  <c r="R92" i="4"/>
  <c r="AH49" i="4"/>
  <c r="AP11" i="4" l="1"/>
  <c r="AP69" i="4"/>
  <c r="AP110" i="4"/>
  <c r="AP31" i="4"/>
  <c r="AP17" i="4"/>
  <c r="AP90" i="4"/>
  <c r="AP89" i="4"/>
  <c r="AP105" i="4"/>
  <c r="AP58" i="4"/>
  <c r="AP82" i="4"/>
  <c r="AP103" i="4"/>
  <c r="AP16" i="4"/>
  <c r="AP51" i="4"/>
  <c r="AP59" i="4"/>
  <c r="AP78" i="4"/>
  <c r="AP60" i="4"/>
  <c r="AP61" i="4"/>
  <c r="AP88" i="4"/>
  <c r="AP98" i="4"/>
  <c r="AP87" i="4"/>
  <c r="AP8" i="4"/>
  <c r="AP112" i="4"/>
  <c r="AP75" i="4"/>
  <c r="AP106" i="4"/>
  <c r="AP49" i="4"/>
  <c r="AP55" i="4"/>
  <c r="AP46" i="4"/>
  <c r="AP40" i="4"/>
  <c r="AP74" i="4"/>
  <c r="AP45" i="4"/>
  <c r="AP36" i="4"/>
  <c r="AP115" i="4"/>
  <c r="AP63" i="4"/>
  <c r="AP15" i="4"/>
  <c r="AP95" i="4"/>
  <c r="AP92" i="4"/>
  <c r="AP91" i="4"/>
  <c r="AP72" i="4"/>
  <c r="AP84" i="4"/>
  <c r="AP76" i="4"/>
  <c r="AP39" i="4"/>
  <c r="AP71" i="4"/>
  <c r="AP70" i="4"/>
  <c r="AP79" i="4"/>
  <c r="AP43" i="4"/>
  <c r="AP35" i="4"/>
  <c r="AP29" i="4"/>
  <c r="AP21" i="4"/>
  <c r="AP80" i="4"/>
  <c r="AP7" i="4"/>
  <c r="AP56" i="4"/>
  <c r="AP52" i="4"/>
  <c r="AP53" i="4"/>
  <c r="AP85" i="4"/>
  <c r="AP97" i="4"/>
  <c r="AP83" i="4"/>
  <c r="AP30" i="4"/>
  <c r="AP67" i="4"/>
  <c r="AP96" i="4"/>
  <c r="AP109" i="4"/>
  <c r="AP64" i="4"/>
  <c r="AP104" i="4"/>
  <c r="AP116" i="4"/>
  <c r="AP34" i="4"/>
  <c r="AP28" i="4"/>
  <c r="AP20" i="4"/>
  <c r="AP14" i="4"/>
  <c r="AP6" i="4"/>
  <c r="AP100" i="4"/>
  <c r="AP54" i="4"/>
  <c r="AP86" i="4"/>
  <c r="AP25" i="4"/>
  <c r="AP77" i="4"/>
  <c r="AP108" i="4"/>
  <c r="AP10" i="4"/>
  <c r="AP107" i="4"/>
  <c r="AP38" i="4"/>
  <c r="AP47" i="4"/>
  <c r="AP9" i="4"/>
  <c r="AP81" i="4"/>
  <c r="AP94" i="4"/>
  <c r="AP37" i="4"/>
  <c r="AP113" i="4"/>
  <c r="AP99" i="4"/>
  <c r="AP68" i="4"/>
  <c r="AP93" i="4"/>
  <c r="AP27" i="4"/>
  <c r="AP114" i="4"/>
  <c r="AP13" i="4"/>
  <c r="AP5" i="4"/>
  <c r="AP50" i="4"/>
  <c r="AP57" i="4"/>
  <c r="AP65" i="4"/>
  <c r="AL73" i="4"/>
  <c r="AL38" i="4"/>
  <c r="AL67" i="4"/>
  <c r="AL62" i="4"/>
  <c r="AL41" i="4"/>
  <c r="AL4" i="4"/>
  <c r="AL71" i="4"/>
  <c r="AL29" i="4"/>
  <c r="AL98" i="4"/>
  <c r="AL56" i="4"/>
  <c r="AL55" i="4"/>
  <c r="AL53" i="4"/>
  <c r="AL49" i="4"/>
  <c r="AL89" i="4"/>
  <c r="AL111" i="4"/>
  <c r="AL116" i="4"/>
  <c r="AL66" i="4"/>
  <c r="AL47" i="4"/>
  <c r="AL9" i="4"/>
  <c r="AL86" i="4"/>
  <c r="AL35" i="4"/>
  <c r="AL18" i="4"/>
  <c r="AL12" i="4"/>
  <c r="AL42" i="4"/>
  <c r="AL43" i="4"/>
  <c r="AL52" i="4"/>
  <c r="AL21" i="4"/>
  <c r="AL85" i="4"/>
  <c r="AL58" i="4"/>
  <c r="AL32" i="4"/>
  <c r="AL76" i="4"/>
  <c r="AL78" i="4"/>
  <c r="AL30" i="4"/>
  <c r="AL81" i="4"/>
  <c r="AL25" i="4"/>
  <c r="AL22" i="4"/>
  <c r="AL46" i="4"/>
  <c r="AL68" i="4"/>
  <c r="AL27" i="4"/>
  <c r="AL61" i="4"/>
  <c r="AL80" i="4"/>
  <c r="AL105" i="4"/>
  <c r="AL20" i="4"/>
  <c r="AL39" i="4"/>
  <c r="AL74" i="4"/>
  <c r="AL102" i="4"/>
  <c r="AL7" i="4"/>
  <c r="AL16" i="4"/>
  <c r="AL59" i="4"/>
  <c r="AL44" i="4"/>
  <c r="AL75" i="4"/>
  <c r="AL37" i="4"/>
  <c r="AL93" i="4"/>
  <c r="AL106" i="4"/>
  <c r="AL64" i="4"/>
  <c r="AL23" i="4"/>
  <c r="AL70" i="4"/>
  <c r="AL114" i="4"/>
  <c r="AL77" i="4"/>
  <c r="AL113" i="4"/>
  <c r="AL13" i="4"/>
  <c r="AL11" i="4"/>
  <c r="AL8" i="4"/>
  <c r="AL5" i="4"/>
  <c r="AL69" i="4"/>
  <c r="AL99" i="4"/>
  <c r="AL50" i="4"/>
  <c r="AL110" i="4"/>
  <c r="AL104" i="4"/>
  <c r="AL57" i="4"/>
  <c r="AL82" i="4"/>
  <c r="AL79" i="4"/>
  <c r="AL65" i="4"/>
  <c r="AL108" i="4"/>
  <c r="AL87" i="4"/>
  <c r="AL100" i="4"/>
  <c r="AL6" i="4"/>
  <c r="AL96" i="4"/>
  <c r="AL28" i="4"/>
  <c r="AL24" i="4"/>
  <c r="AL94" i="4"/>
  <c r="AL34" i="4"/>
  <c r="AL54" i="4"/>
  <c r="AL14" i="4"/>
  <c r="AL109" i="4"/>
  <c r="AL45" i="4"/>
  <c r="AL48" i="4"/>
  <c r="AL40" i="4"/>
  <c r="AL36" i="4"/>
  <c r="AL33" i="4"/>
  <c r="AL31" i="4"/>
  <c r="AL115" i="4"/>
  <c r="AL26" i="4"/>
  <c r="AL103" i="4"/>
  <c r="AL63" i="4"/>
  <c r="AL19" i="4"/>
  <c r="AL17" i="4"/>
  <c r="AL15" i="4"/>
  <c r="AL112" i="4"/>
  <c r="AL10" i="4"/>
  <c r="AL95" i="4"/>
  <c r="AL101" i="4"/>
  <c r="AL51" i="4"/>
  <c r="AL92" i="4"/>
  <c r="AL60" i="4"/>
  <c r="AL88" i="4"/>
  <c r="AL91" i="4"/>
  <c r="AL90" i="4"/>
  <c r="AL83" i="4"/>
  <c r="AL72" i="4"/>
  <c r="AL97" i="4"/>
  <c r="AL107" i="4"/>
  <c r="AL84" i="4"/>
</calcChain>
</file>

<file path=xl/sharedStrings.xml><?xml version="1.0" encoding="utf-8"?>
<sst xmlns="http://schemas.openxmlformats.org/spreadsheetml/2006/main" count="593" uniqueCount="275">
  <si>
    <t xml:space="preserve"> Online  Assesment</t>
  </si>
  <si>
    <t>GD Round</t>
  </si>
  <si>
    <t>HR Round</t>
  </si>
  <si>
    <t>Total Score</t>
  </si>
  <si>
    <t>Candidate Name</t>
  </si>
  <si>
    <t>Email</t>
  </si>
  <si>
    <t>Mobile</t>
  </si>
  <si>
    <t>Qualification</t>
  </si>
  <si>
    <t>Stream</t>
  </si>
  <si>
    <t>Batch</t>
  </si>
  <si>
    <t>Aptitude Score(0-45)</t>
  </si>
  <si>
    <t>Domain Specific Score (0-45)</t>
  </si>
  <si>
    <t>Self Expression (0-5</t>
  </si>
  <si>
    <t>Domain
(0-5)</t>
  </si>
  <si>
    <t>Thought Process to address Issues
(0-5)</t>
  </si>
  <si>
    <t>Problem Solving Skills (0-5)</t>
  </si>
  <si>
    <t>Participation (0-5)</t>
  </si>
  <si>
    <t>Communication (0-5)</t>
  </si>
  <si>
    <t>Presence Of Mind (0-5)</t>
  </si>
  <si>
    <t>Presntation 
(0-5)</t>
  </si>
  <si>
    <t>Values (0-5</t>
  </si>
  <si>
    <t>Career Goal (0-5)</t>
  </si>
  <si>
    <t>Behavior Skills 
(0-5)</t>
  </si>
  <si>
    <t>Role Fitment (0-5)</t>
  </si>
  <si>
    <t>Remarks</t>
  </si>
  <si>
    <t>Ms GURNOOR MANN</t>
  </si>
  <si>
    <t>gurnoor.mann@s.amity.edu</t>
  </si>
  <si>
    <t>Ms VANSHIKA THAKRAL</t>
  </si>
  <si>
    <t>vanshika.thakral@s.amity.edu</t>
  </si>
  <si>
    <t>Ms PRIYANKA MAHAJAN</t>
  </si>
  <si>
    <t>priyanka.mahajan@s.amity.edu</t>
  </si>
  <si>
    <t>Ms SHIKHA SHARMA</t>
  </si>
  <si>
    <t>shikha.sharma8@s.amity.edu</t>
  </si>
  <si>
    <t>Ms KRITI SHARMA</t>
  </si>
  <si>
    <t>kriti.sharma14@s.amity.edu</t>
  </si>
  <si>
    <t>Mr ANGAD DEEP</t>
  </si>
  <si>
    <t>angad.deep@s.amity.edu</t>
  </si>
  <si>
    <t>Ms BHAVYA MITTAL</t>
  </si>
  <si>
    <t>bhavya.mittal@s.amity.edu</t>
  </si>
  <si>
    <t>Ms RIYA BANSAL</t>
  </si>
  <si>
    <t>riya.bansal10@s.amity.edu</t>
  </si>
  <si>
    <t>Ms ISHITA GOYAL</t>
  </si>
  <si>
    <t>ishita.goyal2@s.amity.edu</t>
  </si>
  <si>
    <t>Mr CHIRAG DILTA</t>
  </si>
  <si>
    <t>chirag.dilta1@s.amity.edu</t>
  </si>
  <si>
    <t>Ms SRISHTI PRASHAR</t>
  </si>
  <si>
    <t>srishti.prashar@s.amity.edu</t>
  </si>
  <si>
    <t>Ms PRABLEEN CHAWLA</t>
  </si>
  <si>
    <t>prableen.chawla@s.amity.edu</t>
  </si>
  <si>
    <t>Ms KHUSHI GOYAL</t>
  </si>
  <si>
    <t>khushi.goyal9@s.amity.edu</t>
  </si>
  <si>
    <t>Mr SHAMSHER SINGH</t>
  </si>
  <si>
    <t>shamsher.singh1@s.amity.edu</t>
  </si>
  <si>
    <t>Ms TANISHA ARORA</t>
  </si>
  <si>
    <t>tanisha.arora2@s.amity.edu</t>
  </si>
  <si>
    <t>Mr ASHISH SINGLA</t>
  </si>
  <si>
    <t>ashish.singla@s.amity.edu</t>
  </si>
  <si>
    <t>Ms SAANVI GUPTA</t>
  </si>
  <si>
    <t>saanvi.gupta4@s.amity.edu</t>
  </si>
  <si>
    <t>Ms KULNAAZ KAUR</t>
  </si>
  <si>
    <t>kulnaaz.kaur1@s.amity.edu</t>
  </si>
  <si>
    <t>Ms GARGI HANS</t>
  </si>
  <si>
    <t>gargi.hans@s.amity.edu</t>
  </si>
  <si>
    <t>Mr DHRUV GOYAL</t>
  </si>
  <si>
    <t>dhruv.goyal8@s.amity.edu</t>
  </si>
  <si>
    <t>Ms SAISHTA SHREE</t>
  </si>
  <si>
    <t>saishta.shree@s.amity.edu</t>
  </si>
  <si>
    <t>Ms AANCHAL</t>
  </si>
  <si>
    <t>aanchal5@s.amity.edu</t>
  </si>
  <si>
    <t>Ms ANSHIKA MITTAL</t>
  </si>
  <si>
    <t>anshika.mittal1@s.amity.edu</t>
  </si>
  <si>
    <t>Mr LOVEM GOYAL</t>
  </si>
  <si>
    <t>lovem.goyal@s.amity.edu</t>
  </si>
  <si>
    <t>Mr PULKIT GUPTA</t>
  </si>
  <si>
    <t>pulkit.gupta1@s.amity.edu</t>
  </si>
  <si>
    <t>Mr DEEPANSHU ARORA</t>
  </si>
  <si>
    <t>deepanshu.arora@s.amity.edu</t>
  </si>
  <si>
    <t>Mr GUNTAJ SINGH</t>
  </si>
  <si>
    <t>guntaj.singh@s.amity.edu</t>
  </si>
  <si>
    <t>Ms SUNEET</t>
  </si>
  <si>
    <t>suneet@s.amity.edu</t>
  </si>
  <si>
    <t>Mr DHRUV GABA</t>
  </si>
  <si>
    <t>Mr SHAURYA AUKTA</t>
  </si>
  <si>
    <t>shaurya.aukta@s.amity.edu</t>
  </si>
  <si>
    <t>Mr SIMRANJIT SINGH</t>
  </si>
  <si>
    <t>simranjit.singh1@s.amity.edu</t>
  </si>
  <si>
    <t>Ms RUBAL GUPTA</t>
  </si>
  <si>
    <t>rubal.gupta@s.amity.edu</t>
  </si>
  <si>
    <t>Ms KANAK JINDAL</t>
  </si>
  <si>
    <t>kanak.jindal@s.amity.edu</t>
  </si>
  <si>
    <t>Mr ABHISHEK GUPTA</t>
  </si>
  <si>
    <t>abhishek.gupta9@s.amity.edu</t>
  </si>
  <si>
    <t>Ms ALISHA CHADHA</t>
  </si>
  <si>
    <t>alisha.chadha@s.amity.edu</t>
  </si>
  <si>
    <t>Ms SRISHTI SURI</t>
  </si>
  <si>
    <t>srishti.suri@s.amity.edu</t>
  </si>
  <si>
    <t>Ms ASHINA LUTHRA</t>
  </si>
  <si>
    <t>ashina.luthra@s.amity.edu</t>
  </si>
  <si>
    <t>Mr NAVRAJ SINGH BOPARAI</t>
  </si>
  <si>
    <t>navraj.boparai@s.amity.edu</t>
  </si>
  <si>
    <t>Ms JASNEET ARORA</t>
  </si>
  <si>
    <t>Ms DRISHTI NARANG</t>
  </si>
  <si>
    <t>drishti.narang@s.amity.edu</t>
  </si>
  <si>
    <t>Mr ARYAMAN DAHRA</t>
  </si>
  <si>
    <t>aryaman.dahra@s.amity.edu</t>
  </si>
  <si>
    <t>Ms PALLAVI SHARMA</t>
  </si>
  <si>
    <t>pallavi.sharma6@s.amity.edu</t>
  </si>
  <si>
    <t>Ms PALLAVI SINGH</t>
  </si>
  <si>
    <t>pallavi.singh9@s.amity.edu</t>
  </si>
  <si>
    <t>Mr ADITYA SAINI</t>
  </si>
  <si>
    <t>aditya.saini2@s.amity.edu</t>
  </si>
  <si>
    <t>Mr DHAIRYA JAIN</t>
  </si>
  <si>
    <t>dhairya.jain1@s.amity.edu</t>
  </si>
  <si>
    <t>Ms AKSHITA SETHI</t>
  </si>
  <si>
    <t>akshita.sethi@s.amity.edu</t>
  </si>
  <si>
    <t>Mr AVIRAL SHARMA</t>
  </si>
  <si>
    <t>aviral.sharma@s.amity.edu</t>
  </si>
  <si>
    <t>Mr GURNOOR SINGH</t>
  </si>
  <si>
    <t>gurnoor.singh1@s.amity.edu</t>
  </si>
  <si>
    <t>Mr SWASTIK JOSHI</t>
  </si>
  <si>
    <t>swastik.joshi@s.amity.edu</t>
  </si>
  <si>
    <t>Mr PULKIT SHARMA</t>
  </si>
  <si>
    <t>Ms KANIKA SINGLA</t>
  </si>
  <si>
    <t>kanika.singla@s.amity.edu</t>
  </si>
  <si>
    <t>Ms SAKSHI GOEL</t>
  </si>
  <si>
    <t>sakshi.goel1@s.amity.edu</t>
  </si>
  <si>
    <t>Ms RIA MADAAN</t>
  </si>
  <si>
    <t>ria.madaan@s.amity.edu</t>
  </si>
  <si>
    <t>Mr MANNJOT SINGH</t>
  </si>
  <si>
    <t>mannjot.singh@s.amity.edu</t>
  </si>
  <si>
    <t>Ms HARNEET KAUR</t>
  </si>
  <si>
    <t>harneet.kaur5@s.amity.edu</t>
  </si>
  <si>
    <t>Ms DIKSHA VIJ</t>
  </si>
  <si>
    <t>diksha.vij@s.amity.edu</t>
  </si>
  <si>
    <t>Mr RANJAN VASUDEVA</t>
  </si>
  <si>
    <t>ranjan.vasudeva@s.amity.edu</t>
  </si>
  <si>
    <t>Ms REDDITHOTA EMERALD RESHMA</t>
  </si>
  <si>
    <t>reddithota.reshma@s.amity.edu</t>
  </si>
  <si>
    <t>Ms SIMRANDEEP RANA</t>
  </si>
  <si>
    <t>simrandeep.rana@s.amity.edu</t>
  </si>
  <si>
    <t>Ms MANNAT MAHAJAN</t>
  </si>
  <si>
    <t>mannat.mahajan1@s.amity.edu</t>
  </si>
  <si>
    <t>Mr SANCHIT SHARMA</t>
  </si>
  <si>
    <t>sanchit.sharma1@s.amity.edu</t>
  </si>
  <si>
    <t>Ms TANISHIKA AGGARWAL</t>
  </si>
  <si>
    <t>tanishika.aggarwal@s.amity.edu</t>
  </si>
  <si>
    <t>Ms SRAKSHI PURI</t>
  </si>
  <si>
    <t>srakshi.puri@s.amity.edu</t>
  </si>
  <si>
    <t>Mr DEVANSHU BANSAL</t>
  </si>
  <si>
    <t>devanshu.bansal@s.amity.edu</t>
  </si>
  <si>
    <t>Mr ADITYA AGGARWAL</t>
  </si>
  <si>
    <t>aditya.aggarwal6@s.amity.edu</t>
  </si>
  <si>
    <t>Ms GEETIKA</t>
  </si>
  <si>
    <t>geetika1@s.amity.edu</t>
  </si>
  <si>
    <t>Mr HARDIK GARG</t>
  </si>
  <si>
    <t>hardik.garg1@s.amity.edu</t>
  </si>
  <si>
    <t>Mr UDAY SINGH</t>
  </si>
  <si>
    <t>uday.singh7@s.amity.edu</t>
  </si>
  <si>
    <t>99262 25346</t>
  </si>
  <si>
    <t>Ms JASNOOR RATTA</t>
  </si>
  <si>
    <t>jasnoor.ratta@s.amity.edu</t>
  </si>
  <si>
    <t>Mr BHARAT NAGPAL</t>
  </si>
  <si>
    <t>bharat.nagpal@s.amity.edu</t>
  </si>
  <si>
    <t>Ms HARSHITA SHARMA</t>
  </si>
  <si>
    <t>harshita.sharma31@s.amity.edu</t>
  </si>
  <si>
    <t>Ms VANSHIKA SINGH THAKUR</t>
  </si>
  <si>
    <t>vanshika.thakur3@s.amity.edu</t>
  </si>
  <si>
    <t>Ms RIDHIMA SOOD</t>
  </si>
  <si>
    <t>ridhima.sood@s.amity.edu</t>
  </si>
  <si>
    <t>Ms SIYA SHARMA</t>
  </si>
  <si>
    <t>siya.sharma5@s.amity.edu</t>
  </si>
  <si>
    <t>Ms AANANYA BANSAL</t>
  </si>
  <si>
    <t>Mr DIVANSHU BHATTI</t>
  </si>
  <si>
    <t>divanshu.bhatti@s.amity.edu</t>
  </si>
  <si>
    <t>Ms SUSHILA KAUSHIK</t>
  </si>
  <si>
    <t>sushila.kaushik@s.amity.edu</t>
  </si>
  <si>
    <t>TUSHAR AGGARWAL</t>
  </si>
  <si>
    <t>tushar.aggarwal2@s.amity.edu</t>
  </si>
  <si>
    <t>BHAVYA JAIN</t>
  </si>
  <si>
    <t>bhavya.jain6@s.amity.edu</t>
  </si>
  <si>
    <t>Mr KARANBIR SINGH PUNIA</t>
  </si>
  <si>
    <t>karanbir.punia@s.amity.edu</t>
  </si>
  <si>
    <t>Ms MEGHAA SOOD</t>
  </si>
  <si>
    <t>meghaa.sood@s.amity.edu</t>
  </si>
  <si>
    <t>Ms ADITI</t>
  </si>
  <si>
    <t>aditi35@s.amity.edu</t>
  </si>
  <si>
    <t>Ms VANI GUPTA</t>
  </si>
  <si>
    <t>vani.gupta4@s.amity.edu</t>
  </si>
  <si>
    <t>Ms GARGI SHARMA</t>
  </si>
  <si>
    <t>gargi.sharma9@s.amity.edu</t>
  </si>
  <si>
    <t>Ms AMBIKA ADHIKARI</t>
  </si>
  <si>
    <t>ambika.adhikari@s.amity.edu</t>
  </si>
  <si>
    <t>Mr JATIN GARG</t>
  </si>
  <si>
    <t>jatin.garg@s.amity.edu</t>
  </si>
  <si>
    <t>Mr SAKSHAM</t>
  </si>
  <si>
    <t>saksham8@s.amity.edu</t>
  </si>
  <si>
    <t>Ms SUKHMANJOT KAUR</t>
  </si>
  <si>
    <t>sukhmanjot.kaur@s.amity.edu</t>
  </si>
  <si>
    <t>Mr CHITRAKSH GARG</t>
  </si>
  <si>
    <t>chitraksh.garg@s.amity.edu</t>
  </si>
  <si>
    <t>Mr BHUPINDER SINGH</t>
  </si>
  <si>
    <t>Mr SAIVY BOPARAI</t>
  </si>
  <si>
    <t>saivy.boparai@s.amity.edu</t>
  </si>
  <si>
    <t>ISHA SHARMA</t>
  </si>
  <si>
    <t>isha.sharma12@s.amity.edu</t>
  </si>
  <si>
    <t>Ms RADHIKA CHAWLA</t>
  </si>
  <si>
    <t>radhika.chawla1@s.amity.edu</t>
  </si>
  <si>
    <t>Mr AVI SINGH</t>
  </si>
  <si>
    <t>avi.singh@s.amity.edu</t>
  </si>
  <si>
    <t>Mr VIVEK</t>
  </si>
  <si>
    <t>vivek8@s.amity.edu</t>
  </si>
  <si>
    <t>Mr ANKIT SACHDEVA</t>
  </si>
  <si>
    <t>ankit.sachdeva@s.amity.edu</t>
  </si>
  <si>
    <t>Mr MAHESH</t>
  </si>
  <si>
    <t>mahesh@s.amity.edu</t>
  </si>
  <si>
    <t>Ms MALLIKA</t>
  </si>
  <si>
    <t>Mr HARSHUL</t>
  </si>
  <si>
    <t>harshul1@s.amity.edu</t>
  </si>
  <si>
    <t>Mr MANTESHWAR SINGH KOCHER</t>
  </si>
  <si>
    <t>manteshwar.kocher@s.amity.edu</t>
  </si>
  <si>
    <t>Mr ANVESH PAUL</t>
  </si>
  <si>
    <t>Mr ARYAN KAPIL</t>
  </si>
  <si>
    <t>aryan.kapil@s.amity.edu</t>
  </si>
  <si>
    <t>Mr UJJWAL</t>
  </si>
  <si>
    <t>ujjwal14@s.amity.edu</t>
  </si>
  <si>
    <t>Ms MAHIMA SHARMA</t>
  </si>
  <si>
    <t>mahima.sharma19@s.amity.edu</t>
  </si>
  <si>
    <t>Ms SANYA BANSAL</t>
  </si>
  <si>
    <t>sanya.bansal3@s.amity.edu</t>
  </si>
  <si>
    <t>Mr MANAVDEEP SINGH</t>
  </si>
  <si>
    <t>manavdeep.singh1@s.amity.edu</t>
  </si>
  <si>
    <t>Mr DIKSHIT GUPTA</t>
  </si>
  <si>
    <t>dikshit.gupta@s.amity.edu</t>
  </si>
  <si>
    <t>Ms MUSKAN GROVER</t>
  </si>
  <si>
    <t>muskan.grover1@s.amity.edu</t>
  </si>
  <si>
    <t>Paarth Sharma</t>
  </si>
  <si>
    <t>paarth.sharma@s.amity.edu</t>
  </si>
  <si>
    <t>Mr ADITYA SHARMA</t>
  </si>
  <si>
    <t>aditya.sharma81@s.amity.edu</t>
  </si>
  <si>
    <t>PURVA</t>
  </si>
  <si>
    <t>purva1@s.amity.edu</t>
  </si>
  <si>
    <t>Mr AJAY GOYAL</t>
  </si>
  <si>
    <t>ajay.goyal@s.amity.edu</t>
  </si>
  <si>
    <t>Mr PANAV THAKUR</t>
  </si>
  <si>
    <t>panav.thakur1@s.amity.edu</t>
  </si>
  <si>
    <t>anveshpaul999@gmail.com</t>
  </si>
  <si>
    <t>bhupiii100@gmail.com</t>
  </si>
  <si>
    <t>dimpii8295@gmail.com</t>
  </si>
  <si>
    <t>jasneetarora0804@gmail.com</t>
  </si>
  <si>
    <t>mallika14042002@gmail.com</t>
  </si>
  <si>
    <t>pulkitsh92003@gmail.com</t>
  </si>
  <si>
    <t>aananya26bansal@gmail.com</t>
  </si>
  <si>
    <t>Personal Interview</t>
  </si>
  <si>
    <t>MBA</t>
  </si>
  <si>
    <t>GD Remarks</t>
  </si>
  <si>
    <t>OA Remarks</t>
  </si>
  <si>
    <t>Personal Interview Remarks</t>
  </si>
  <si>
    <t>HR Round Remarks</t>
  </si>
  <si>
    <t>52.4</t>
  </si>
  <si>
    <t>Not Attempted</t>
  </si>
  <si>
    <t>MAX_MARKS_TI(20)</t>
  </si>
  <si>
    <t>GD_Total Marks_INT (20)</t>
  </si>
  <si>
    <t>GD_Total Marks_STRING (20)</t>
  </si>
  <si>
    <t>GD_MAX_TOTAL_MARKS(20)</t>
  </si>
  <si>
    <t>OA_Total Marks_INT(90)</t>
  </si>
  <si>
    <t>OA_MAX_MARKS_OA(90)</t>
  </si>
  <si>
    <t>TI_Total Marks_INT (20)</t>
  </si>
  <si>
    <t>TI_Total Marks_STRING (20)</t>
  </si>
  <si>
    <t>HR_Total _INT_Marks (20)</t>
  </si>
  <si>
    <t>OA+TI+GD+HR _INT(0-150)</t>
  </si>
  <si>
    <t>MAX_OA_TI_GD_HR_MARKS</t>
  </si>
  <si>
    <t>RANK</t>
  </si>
  <si>
    <t>S_N0</t>
  </si>
  <si>
    <t>HR_Total Marks_STRING (20)</t>
  </si>
  <si>
    <t>HR_MAX_MARKS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</si>
</sst>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3">
    <font>
      <sz val="10"/>
      <color rgb="FF000000"/>
      <name val="Arial"/>
      <charset val="134"/>
      <scheme val="minor"/>
    </font>
    <font>
      <sz val="10"/>
      <color rgb="FF000000"/>
      <name val="Arial Black"/>
      <family val="2"/>
    </font>
    <font>
      <sz val="9"/>
      <color rgb="FF000000"/>
      <name val="Arial Black"/>
      <family val="2"/>
    </font>
    <font>
      <sz val="20"/>
      <color theme="0"/>
      <name val="Arial Black"/>
      <family val="2"/>
    </font>
    <font>
      <b/>
      <sz val="10"/>
      <name val="Arial Black"/>
      <family val="2"/>
    </font>
    <font>
      <b/>
      <sz val="9"/>
      <name val="Arial Black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 Black"/>
      <family val="2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59999389629810485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rgb="FFDD7E6B"/>
      </patternFill>
    </fill>
    <fill>
      <patternFill patternType="solid">
        <fgColor theme="4" tint="0.79995117038483843"/>
        <bgColor rgb="FFDD7E6B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91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7" xfId="0" applyBorder="1"/>
    <xf numFmtId="0" fontId="0" fillId="6" borderId="1" xfId="0" applyFill="1" applyBorder="1" applyAlignment="1">
      <alignment horizontal="left"/>
    </xf>
    <xf numFmtId="0" fontId="0" fillId="0" borderId="1" xfId="0" applyBorder="1"/>
    <xf numFmtId="0" fontId="7" fillId="0" borderId="1" xfId="0" applyFont="1" applyBorder="1" applyAlignment="1">
      <alignment horizontal="left"/>
    </xf>
    <xf numFmtId="0" fontId="5" fillId="8" borderId="5" xfId="0" applyFont="1" applyFill="1" applyBorder="1" applyAlignment="1">
      <alignment horizontal="center" vertical="center" textRotation="90" wrapText="1"/>
    </xf>
    <xf numFmtId="0" fontId="9" fillId="0" borderId="7" xfId="0" applyFont="1" applyBorder="1"/>
    <xf numFmtId="0" fontId="9" fillId="0" borderId="1" xfId="0" applyFont="1" applyBorder="1"/>
    <xf numFmtId="0" fontId="5" fillId="8" borderId="8" xfId="0" applyFont="1" applyFill="1" applyBorder="1" applyAlignment="1">
      <alignment horizontal="center" vertical="center" textRotation="90" wrapText="1"/>
    </xf>
    <xf numFmtId="0" fontId="5" fillId="8" borderId="6" xfId="0" applyFont="1" applyFill="1" applyBorder="1" applyAlignment="1">
      <alignment horizontal="center" vertical="center" textRotation="90" wrapText="1"/>
    </xf>
    <xf numFmtId="164" fontId="5" fillId="9" borderId="9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/>
    <xf numFmtId="0" fontId="5" fillId="8" borderId="5" xfId="0" applyFont="1" applyFill="1" applyBorder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10" fillId="7" borderId="0" xfId="0" applyFont="1" applyFill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9" fillId="0" borderId="10" xfId="0" applyFont="1" applyBorder="1"/>
    <xf numFmtId="0" fontId="0" fillId="0" borderId="10" xfId="0" applyBorder="1"/>
    <xf numFmtId="0" fontId="5" fillId="8" borderId="4" xfId="0" applyFont="1" applyFill="1" applyBorder="1" applyAlignment="1">
      <alignment horizontal="center" vertical="center" textRotation="90" wrapText="1"/>
    </xf>
    <xf numFmtId="0" fontId="8" fillId="7" borderId="1" xfId="0" applyFont="1" applyFill="1" applyBorder="1"/>
    <xf numFmtId="0" fontId="3" fillId="2" borderId="11" xfId="0" applyFont="1" applyFill="1" applyBorder="1" applyAlignment="1">
      <alignment vertical="center"/>
    </xf>
    <xf numFmtId="0" fontId="4" fillId="3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textRotation="90" wrapText="1"/>
    </xf>
    <xf numFmtId="0" fontId="5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7" borderId="1" xfId="0" applyFont="1" applyFill="1" applyBorder="1"/>
    <xf numFmtId="0" fontId="7" fillId="6" borderId="1" xfId="0" applyFont="1" applyFill="1" applyBorder="1" applyAlignment="1">
      <alignment horizontal="left"/>
    </xf>
    <xf numFmtId="0" fontId="9" fillId="0" borderId="12" xfId="0" applyFont="1" applyBorder="1"/>
    <xf numFmtId="0" fontId="4" fillId="4" borderId="11" xfId="0" applyFont="1" applyFill="1" applyBorder="1"/>
    <xf numFmtId="0" fontId="10" fillId="7" borderId="1" xfId="0" applyFont="1" applyFill="1" applyBorder="1" applyAlignment="1">
      <alignment vertical="center"/>
    </xf>
    <xf numFmtId="0" fontId="0" fillId="0" borderId="12" xfId="0" applyBorder="1"/>
    <xf numFmtId="0" fontId="3" fillId="2" borderId="0" xfId="0" applyFont="1" applyFill="1" applyAlignment="1">
      <alignment vertical="center"/>
    </xf>
    <xf numFmtId="0" fontId="4" fillId="4" borderId="0" xfId="0" applyFont="1" applyFill="1"/>
    <xf numFmtId="0" fontId="5" fillId="9" borderId="2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4" fillId="4" borderId="13" xfId="0" applyFont="1" applyFill="1" applyBorder="1"/>
    <xf numFmtId="0" fontId="8" fillId="0" borderId="0" xfId="0" applyFont="1" applyAlignment="1">
      <alignment vertical="center"/>
    </xf>
    <xf numFmtId="49" fontId="3" fillId="2" borderId="1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49" fontId="8" fillId="7" borderId="1" xfId="0" applyNumberFormat="1" applyFont="1" applyFill="1" applyBorder="1"/>
    <xf numFmtId="49" fontId="0" fillId="0" borderId="0" xfId="0" applyNumberFormat="1"/>
    <xf numFmtId="49" fontId="4" fillId="4" borderId="1" xfId="0" applyNumberFormat="1" applyFont="1" applyFill="1" applyBorder="1"/>
    <xf numFmtId="49" fontId="5" fillId="9" borderId="1" xfId="0" applyNumberFormat="1" applyFont="1" applyFill="1" applyBorder="1" applyAlignment="1">
      <alignment horizontal="center" vertical="center" wrapText="1"/>
    </xf>
    <xf numFmtId="49" fontId="10" fillId="7" borderId="1" xfId="0" applyNumberFormat="1" applyFont="1" applyFill="1" applyBorder="1"/>
    <xf numFmtId="49" fontId="3" fillId="2" borderId="3" xfId="0" applyNumberFormat="1" applyFont="1" applyFill="1" applyBorder="1" applyAlignment="1">
      <alignment vertical="center"/>
    </xf>
    <xf numFmtId="49" fontId="4" fillId="4" borderId="3" xfId="0" applyNumberFormat="1" applyFont="1" applyFill="1" applyBorder="1"/>
    <xf numFmtId="49" fontId="5" fillId="9" borderId="9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2" fontId="0" fillId="0" borderId="0" xfId="0" applyNumberFormat="1"/>
    <xf numFmtId="1" fontId="3" fillId="2" borderId="0" xfId="0" applyNumberFormat="1" applyFont="1" applyFill="1" applyAlignment="1">
      <alignment vertical="center"/>
    </xf>
    <xf numFmtId="1" fontId="4" fillId="4" borderId="0" xfId="0" applyNumberFormat="1" applyFont="1" applyFill="1"/>
    <xf numFmtId="1" fontId="5" fillId="9" borderId="9" xfId="0" applyNumberFormat="1" applyFont="1" applyFill="1" applyBorder="1" applyAlignment="1">
      <alignment horizontal="center" vertical="center" wrapText="1"/>
    </xf>
    <xf numFmtId="1" fontId="7" fillId="0" borderId="0" xfId="0" applyNumberFormat="1" applyFont="1"/>
    <xf numFmtId="1" fontId="0" fillId="0" borderId="0" xfId="0" applyNumberFormat="1"/>
    <xf numFmtId="49" fontId="4" fillId="4" borderId="4" xfId="0" applyNumberFormat="1" applyFont="1" applyFill="1" applyBorder="1"/>
    <xf numFmtId="49" fontId="5" fillId="9" borderId="2" xfId="0" applyNumberFormat="1" applyFont="1" applyFill="1" applyBorder="1" applyAlignment="1">
      <alignment horizontal="center" vertical="center" wrapText="1"/>
    </xf>
    <xf numFmtId="49" fontId="10" fillId="7" borderId="0" xfId="0" applyNumberFormat="1" applyFont="1" applyFill="1"/>
    <xf numFmtId="49" fontId="4" fillId="4" borderId="13" xfId="0" applyNumberFormat="1" applyFont="1" applyFill="1" applyBorder="1"/>
    <xf numFmtId="49" fontId="5" fillId="9" borderId="0" xfId="0" applyNumberFormat="1" applyFont="1" applyFill="1" applyAlignment="1">
      <alignment horizontal="center" vertical="center" wrapText="1"/>
    </xf>
    <xf numFmtId="1" fontId="10" fillId="7" borderId="0" xfId="0" applyNumberFormat="1" applyFont="1" applyFill="1"/>
    <xf numFmtId="49" fontId="4" fillId="10" borderId="5" xfId="0" applyNumberFormat="1" applyFont="1" applyFill="1" applyBorder="1" applyAlignment="1">
      <alignment horizontal="center"/>
    </xf>
    <xf numFmtId="49" fontId="5" fillId="10" borderId="4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vertical="center"/>
    </xf>
    <xf numFmtId="1" fontId="4" fillId="10" borderId="5" xfId="0" applyNumberFormat="1" applyFont="1" applyFill="1" applyBorder="1" applyAlignment="1">
      <alignment horizontal="center"/>
    </xf>
    <xf numFmtId="1" fontId="5" fillId="10" borderId="4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2" fontId="3" fillId="2" borderId="3" xfId="0" applyNumberFormat="1" applyFont="1" applyFill="1" applyBorder="1" applyAlignment="1">
      <alignment vertical="center"/>
    </xf>
    <xf numFmtId="2" fontId="4" fillId="10" borderId="5" xfId="0" applyNumberFormat="1" applyFont="1" applyFill="1" applyBorder="1" applyAlignment="1">
      <alignment horizontal="center"/>
    </xf>
    <xf numFmtId="2" fontId="5" fillId="10" borderId="4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0" fillId="0" borderId="0" xfId="0" applyBorder="1"/>
    <xf numFmtId="0" fontId="9" fillId="0" borderId="0" xfId="0" applyFont="1" applyBorder="1"/>
    <xf numFmtId="0" fontId="9" fillId="0" borderId="8" xfId="0" applyFont="1" applyBorder="1"/>
    <xf numFmtId="164" fontId="0" fillId="0" borderId="0" xfId="0" applyNumberFormat="1" applyBorder="1"/>
  </cellXfs>
  <cellStyles count="2">
    <cellStyle name="Normal" xfId="0" builtinId="0"/>
    <cellStyle name="Normal 2" xfId="1" xr:uid="{00000000-0005-0000-0000-00003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47626</xdr:rowOff>
    </xdr:from>
    <xdr:to>
      <xdr:col>1</xdr:col>
      <xdr:colOff>962025</xdr:colOff>
      <xdr:row>0</xdr:row>
      <xdr:rowOff>485775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47625"/>
          <a:ext cx="1276350" cy="43815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45F06"/>
    <outlinePr summaryBelow="0" summaryRight="0"/>
  </sheetPr>
  <dimension ref="A1:AQ116"/>
  <sheetViews>
    <sheetView tabSelected="1" topLeftCell="AL3" zoomScale="62" zoomScaleNormal="62" workbookViewId="0">
      <pane ySplit="1" topLeftCell="A27" activePane="bottomLeft" state="frozen"/>
      <selection activeCell="A3" sqref="A3"/>
      <selection pane="bottomLeft" activeCell="AM49" sqref="AM49"/>
    </sheetView>
  </sheetViews>
  <sheetFormatPr defaultColWidth="12.7265625" defaultRowHeight="15.75" customHeight="1"/>
  <cols>
    <col min="2" max="3" width="20.7265625" customWidth="1"/>
    <col min="4" max="4" width="11.453125" bestFit="1" customWidth="1"/>
    <col min="5" max="5" width="4.81640625" bestFit="1" customWidth="1"/>
    <col min="6" max="7" width="3.7265625" bestFit="1" customWidth="1"/>
    <col min="8" max="8" width="6" bestFit="1" customWidth="1"/>
    <col min="9" max="9" width="3.7265625" bestFit="1" customWidth="1"/>
    <col min="10" max="10" width="19" customWidth="1"/>
    <col min="11" max="11" width="19" style="57" customWidth="1"/>
    <col min="12" max="12" width="19" customWidth="1"/>
    <col min="13" max="13" width="82.1796875" bestFit="1" customWidth="1"/>
    <col min="14" max="14" width="22" bestFit="1" customWidth="1"/>
    <col min="15" max="15" width="6.453125" bestFit="1" customWidth="1"/>
    <col min="16" max="16" width="9.26953125" bestFit="1" customWidth="1"/>
    <col min="17" max="17" width="4" bestFit="1" customWidth="1"/>
    <col min="18" max="18" width="11.81640625" bestFit="1" customWidth="1"/>
    <col min="19" max="19" width="16.1796875" style="57" customWidth="1"/>
    <col min="20" max="20" width="16.1796875" customWidth="1"/>
    <col min="21" max="21" width="80" bestFit="1" customWidth="1"/>
    <col min="22" max="22" width="11.26953125" bestFit="1" customWidth="1"/>
    <col min="23" max="24" width="3.7265625" bestFit="1" customWidth="1"/>
    <col min="25" max="25" width="6.453125" bestFit="1" customWidth="1"/>
    <col min="26" max="26" width="11.81640625" style="3" bestFit="1" customWidth="1"/>
    <col min="27" max="27" width="11.81640625" style="57" bestFit="1" customWidth="1"/>
    <col min="28" max="28" width="11.81640625" style="70" customWidth="1"/>
    <col min="29" max="29" width="98.81640625" bestFit="1" customWidth="1"/>
    <col min="30" max="31" width="4" customWidth="1"/>
    <col min="32" max="32" width="6.7265625" customWidth="1"/>
    <col min="33" max="33" width="4" customWidth="1"/>
    <col min="35" max="35" width="23.90625" style="57" customWidth="1"/>
    <col min="36" max="36" width="12.7265625" style="57"/>
    <col min="37" max="37" width="88.54296875" customWidth="1"/>
    <col min="38" max="38" width="19.81640625" style="65" customWidth="1"/>
    <col min="39" max="39" width="14.7265625" style="57" customWidth="1"/>
    <col min="40" max="40" width="14.7265625" style="70" customWidth="1"/>
    <col min="41" max="41" width="14.7265625" style="57" customWidth="1"/>
    <col min="42" max="42" width="204.81640625" customWidth="1"/>
    <col min="43" max="43" width="75.453125" customWidth="1"/>
  </cols>
  <sheetData>
    <row r="1" spans="1:43" ht="40.5" hidden="1" customHeight="1" thickBot="1">
      <c r="B1" s="29"/>
      <c r="C1" s="29"/>
      <c r="D1" s="29"/>
      <c r="E1" s="29"/>
      <c r="F1" s="29"/>
      <c r="G1" s="29"/>
      <c r="H1" s="29"/>
      <c r="I1" s="29"/>
      <c r="J1" s="29"/>
      <c r="K1" s="53"/>
      <c r="L1" s="29"/>
      <c r="M1" s="29"/>
      <c r="N1" s="29"/>
      <c r="O1" s="29"/>
      <c r="P1" s="29"/>
      <c r="Q1" s="29"/>
      <c r="R1" s="29"/>
      <c r="S1" s="53"/>
      <c r="T1" s="29"/>
      <c r="U1" s="20"/>
      <c r="V1" s="20"/>
      <c r="W1" s="20"/>
      <c r="X1" s="20"/>
      <c r="Y1" s="20"/>
      <c r="Z1" s="20"/>
      <c r="AA1" s="61"/>
      <c r="AB1" s="66"/>
      <c r="AC1" s="47"/>
      <c r="AD1" s="20"/>
      <c r="AE1" s="20"/>
      <c r="AF1" s="20"/>
      <c r="AG1" s="20"/>
      <c r="AH1" s="20"/>
      <c r="AI1" s="61"/>
      <c r="AJ1" s="61"/>
      <c r="AK1" s="50"/>
      <c r="AL1" s="83"/>
      <c r="AM1" s="61"/>
      <c r="AN1" s="79"/>
      <c r="AO1" s="61"/>
      <c r="AP1" s="21"/>
    </row>
    <row r="2" spans="1:43" s="1" customFormat="1" ht="15.75" hidden="1" customHeight="1" thickBot="1">
      <c r="B2" s="30"/>
      <c r="C2" s="30"/>
      <c r="D2" s="30"/>
      <c r="E2" s="30"/>
      <c r="F2" s="30"/>
      <c r="G2" s="30"/>
      <c r="H2" s="86" t="s">
        <v>0</v>
      </c>
      <c r="I2" s="86"/>
      <c r="J2" s="86"/>
      <c r="K2" s="54"/>
      <c r="L2" s="31"/>
      <c r="M2" s="31"/>
      <c r="N2" s="32" t="s">
        <v>252</v>
      </c>
      <c r="O2" s="32"/>
      <c r="P2" s="32"/>
      <c r="Q2" s="32"/>
      <c r="R2" s="32"/>
      <c r="S2" s="58"/>
      <c r="T2" s="48"/>
      <c r="U2" s="44"/>
      <c r="V2" s="22" t="s">
        <v>1</v>
      </c>
      <c r="W2" s="23"/>
      <c r="X2" s="23"/>
      <c r="Y2" s="23"/>
      <c r="Z2" s="23"/>
      <c r="AA2" s="62"/>
      <c r="AB2" s="67"/>
      <c r="AC2" s="48"/>
      <c r="AD2" s="23" t="s">
        <v>2</v>
      </c>
      <c r="AE2" s="23"/>
      <c r="AF2" s="23"/>
      <c r="AG2" s="23"/>
      <c r="AH2" s="24"/>
      <c r="AI2" s="71"/>
      <c r="AJ2" s="74"/>
      <c r="AK2" s="51"/>
      <c r="AL2" s="84" t="s">
        <v>3</v>
      </c>
      <c r="AM2" s="77" t="s">
        <v>3</v>
      </c>
      <c r="AN2" s="80"/>
      <c r="AO2" s="77"/>
      <c r="AP2" s="15"/>
    </row>
    <row r="3" spans="1:43" s="2" customFormat="1" ht="152.25" customHeight="1" thickBot="1">
      <c r="A3" s="2" t="s">
        <v>272</v>
      </c>
      <c r="B3" s="33" t="s">
        <v>4</v>
      </c>
      <c r="C3" s="33" t="s">
        <v>5</v>
      </c>
      <c r="D3" s="33" t="s">
        <v>6</v>
      </c>
      <c r="E3" s="34" t="s">
        <v>7</v>
      </c>
      <c r="F3" s="34" t="s">
        <v>8</v>
      </c>
      <c r="G3" s="34" t="s">
        <v>9</v>
      </c>
      <c r="H3" s="35" t="s">
        <v>10</v>
      </c>
      <c r="I3" s="35" t="s">
        <v>11</v>
      </c>
      <c r="J3" s="36" t="s">
        <v>264</v>
      </c>
      <c r="K3" s="55" t="s">
        <v>264</v>
      </c>
      <c r="L3" s="36" t="s">
        <v>265</v>
      </c>
      <c r="M3" s="36" t="s">
        <v>255</v>
      </c>
      <c r="N3" s="37" t="s">
        <v>12</v>
      </c>
      <c r="O3" s="37" t="s">
        <v>13</v>
      </c>
      <c r="P3" s="37" t="s">
        <v>14</v>
      </c>
      <c r="Q3" s="37" t="s">
        <v>15</v>
      </c>
      <c r="R3" s="38" t="s">
        <v>266</v>
      </c>
      <c r="S3" s="59" t="s">
        <v>267</v>
      </c>
      <c r="T3" s="38" t="s">
        <v>260</v>
      </c>
      <c r="U3" s="38" t="s">
        <v>256</v>
      </c>
      <c r="V3" s="27" t="s">
        <v>16</v>
      </c>
      <c r="W3" s="9" t="s">
        <v>17</v>
      </c>
      <c r="X3" s="12" t="s">
        <v>18</v>
      </c>
      <c r="Y3" s="13" t="s">
        <v>19</v>
      </c>
      <c r="Z3" s="14" t="s">
        <v>261</v>
      </c>
      <c r="AA3" s="63" t="s">
        <v>262</v>
      </c>
      <c r="AB3" s="68" t="s">
        <v>263</v>
      </c>
      <c r="AC3" s="38" t="s">
        <v>254</v>
      </c>
      <c r="AD3" s="27" t="s">
        <v>20</v>
      </c>
      <c r="AE3" s="9" t="s">
        <v>21</v>
      </c>
      <c r="AF3" s="9" t="s">
        <v>22</v>
      </c>
      <c r="AG3" s="9" t="s">
        <v>23</v>
      </c>
      <c r="AH3" s="49" t="s">
        <v>268</v>
      </c>
      <c r="AI3" s="72" t="s">
        <v>273</v>
      </c>
      <c r="AJ3" s="75" t="s">
        <v>274</v>
      </c>
      <c r="AK3" s="38" t="s">
        <v>257</v>
      </c>
      <c r="AL3" s="85" t="s">
        <v>269</v>
      </c>
      <c r="AM3" s="78" t="s">
        <v>269</v>
      </c>
      <c r="AN3" s="81" t="s">
        <v>270</v>
      </c>
      <c r="AO3" s="78" t="s">
        <v>271</v>
      </c>
      <c r="AP3" s="16" t="s">
        <v>24</v>
      </c>
    </row>
    <row r="4" spans="1:43" ht="15.75" customHeight="1">
      <c r="A4">
        <v>1</v>
      </c>
      <c r="B4" s="39" t="s">
        <v>163</v>
      </c>
      <c r="C4" s="40" t="s">
        <v>164</v>
      </c>
      <c r="D4" s="40">
        <v>9112988000</v>
      </c>
      <c r="E4" s="7" t="s">
        <v>253</v>
      </c>
      <c r="F4" s="7"/>
      <c r="G4" s="7"/>
      <c r="H4" s="7">
        <v>9.5</v>
      </c>
      <c r="I4" s="7">
        <v>26</v>
      </c>
      <c r="J4" s="28">
        <f>SUM(H4:I4)</f>
        <v>35.5</v>
      </c>
      <c r="K4" s="56">
        <v>35.5</v>
      </c>
      <c r="L4" s="28">
        <v>90</v>
      </c>
      <c r="M4" s="28" t="str">
        <f>IF(H4=0,
"Aptitude section not attempted. ",
IF(H4&gt;=33.75,
"Outstanding performance in Aptitude. ",
IF(H4&gt;=22.5,
"Good performance in Aptitude. ",
"Needs improvement in Aptitude. "))) &amp;
IF(I4=0,
" General MBA Questions section not attempted. ",
IF(I4&gt;=33.75,
" Outstanding performance in General MBA Questions. ",
IF(I4&gt;=22.5,
" Good performance in General MBA Questions. ",
" Needs improvement in General MBA Questions. ")))</f>
        <v xml:space="preserve">Needs improvement in Aptitude.  Good performance in General MBA Questions. </v>
      </c>
      <c r="N4" s="11">
        <v>0</v>
      </c>
      <c r="O4" s="11">
        <v>0</v>
      </c>
      <c r="P4" s="11">
        <v>0</v>
      </c>
      <c r="Q4" s="11">
        <v>0</v>
      </c>
      <c r="R4" s="41">
        <f>SUM(N4:Q4)</f>
        <v>0</v>
      </c>
      <c r="S4" s="60" t="s">
        <v>259</v>
      </c>
      <c r="T4" s="41">
        <v>20</v>
      </c>
      <c r="U4" s="45" t="str">
        <f>IF(AND(N4=0,O4=0,P4=0,Q4=0),
"Personal Interview not attempted. Please ensure participation next time.",
IF(N4=0,
"Self Expression not attempted. Focus on articulating thoughts clearly.",
IF(N4&gt;=4,
"Outstanding Self Expression. ",
IF(N4&gt;=2,
"Good Self Expression. ",
"Needs improvement in Self Expression. "))) &amp;
IF(O4=0,
"Domain Knowledge not attempted. Focus on relevant topics.",
IF(O4&gt;=4,
"Outstanding performance in Domain Knowledge. ",
IF(O4&gt;=2,
"Good performance in Domain Knowledge. ",
"Needs improvement in Domain Knowledge. "))) &amp;
IF(P4=0,
"Thought Process not attempted. Work on organizing your thoughts.",
IF(P4&gt;=4,
"Outstanding Thought Process. ",
IF(P4&gt;=2,
"Good Thought Process. ",
"Needs improvement in Thought Process. "))) &amp;
IF(Q4=0,
"Problem Solving Skills not attempted. Focus on practice.",
IF(Q4&gt;=4,
"Outstanding Problem Solving Skills. ",
IF(Q4&gt;=2,
"Good Problem Solving Skills. ",
"Needs improvement in Problem Solving Skills. "))))</f>
        <v>Personal Interview not attempted. Please ensure participation next time.</v>
      </c>
      <c r="V4" s="43">
        <v>3</v>
      </c>
      <c r="W4" s="11">
        <v>2</v>
      </c>
      <c r="X4" s="3">
        <v>3</v>
      </c>
      <c r="Y4" s="87">
        <v>2</v>
      </c>
      <c r="Z4" s="3">
        <f>SUM(V4:Y4)</f>
        <v>10</v>
      </c>
      <c r="AA4" s="57">
        <v>10</v>
      </c>
      <c r="AB4" s="69">
        <v>20</v>
      </c>
      <c r="AC4" s="7" t="str">
        <f>IF(AND(V4=0,W4=0,X4=0,Y4=0),
"GD Round not attempted. Active participation is crucial.",
IF(V4=0,
"Participation not attempted. Engage more in discussions.",
IF(V4&gt;=4,
"Outstanding Participation. ",
IF(V4&gt;=2,
"Good Participation. ",
"Needs improvement in Participation. "))) &amp;
IF(W4=0,
"Communication not attempted. Focus on expressing ideas clearly.",
IF(W4&gt;=4,
"Outstanding Communication. ",
IF(W4&gt;=2,
"Good Communication. ",
"Needs improvement in Communication. "))) &amp;
IF(X4=0,
"Presence of Mind not attempted. Work on staying alert during discussions.",
IF(X4&gt;=4,
"Outstanding Presence of Mind. ",
IF(X4&gt;=2,
"Good Presence of Mind. ",
"Needs improvement in Presence of Mind. "))) &amp;
IF(Y4=0,
"Presentation not attempted. Enhance your presentation skills.",
IF(Y4&gt;=4,
"Outstanding Presentation. ",
IF(Y4&gt;=2,
"Good Presentation. ",
"Needs improvement in Presentation. "))))</f>
        <v xml:space="preserve">Good Participation. Good Communication. Good Presence of Mind. Good Presentation. </v>
      </c>
      <c r="AD4" s="88">
        <v>0</v>
      </c>
      <c r="AE4" s="88">
        <v>0</v>
      </c>
      <c r="AF4" s="90">
        <v>0</v>
      </c>
      <c r="AG4" s="87">
        <v>0</v>
      </c>
      <c r="AH4" s="19">
        <f>SUM(AD4:AG4)</f>
        <v>0</v>
      </c>
      <c r="AI4" s="73" t="s">
        <v>259</v>
      </c>
      <c r="AJ4" s="76">
        <v>20</v>
      </c>
      <c r="AK4" s="45" t="str">
        <f>IF(AND(AD4=0,AE4=0,AF4=0,AG4=0),
"HR Round not attempted. It's essential to participate in all assessments.",
IF(AD4=0,
"Values not attempted. Reflect on your core values.",
IF(AD4&gt;=4,
"Outstanding understanding of Values. ",
IF(AD4&gt;=2,
"Good understanding of Values. ",
"Needs improvement in understanding Values. "))) &amp;
IF(AE4=0,
"Career Goal not attempted. Define your career objectives clearly.",
IF(AE4&gt;=4,
"Outstanding clarity in Career Goals. ",
IF(AE4&gt;=2,
"Good clarity in Career Goals. ",
"Needs improvement in defining Career Goals. "))) &amp;
IF(AF4=0,
"Behavior Skills not attempted. Work on interpersonal skills.",
IF(AF4&gt;=4,
"Outstanding Behavior Skills. ",
IF(AF4&gt;=2,
"Good Behavior Skills. ",
"Needs improvement in Behavior Skills. "))) &amp;
IF(AG4=0,
"Role Fitment not attempted. Assess your fit for the role.",
IF(AG4&gt;=4,
"Outstanding Role Fitment. ",
IF(AG4&gt;=2,
"Good Role Fitment. ",
"Needs improvement in Role Fitment. "))))</f>
        <v>HR Round not attempted. It's essential to participate in all assessments.</v>
      </c>
      <c r="AL4" s="65">
        <f>SUM(J4,R4,Z4,AH4)</f>
        <v>45.5</v>
      </c>
      <c r="AM4" s="57">
        <v>45.5</v>
      </c>
      <c r="AN4" s="70">
        <v>150</v>
      </c>
      <c r="AO4" s="57">
        <v>65</v>
      </c>
      <c r="AP4" s="52" t="str">
        <f>IF(AND(J4=0,R4=0,Z4=0,AH4=0),
"No participation in any assessment. Please ensure participation in future evaluations.",
IF(J4=0,
"Online Assessment not attempted. Focus on improving basic skills.",
IF(J4&gt;=67.5,
"Outstanding performance in Online Assessment. ",
IF(J4&gt;=45,
"Good performance in Online Assessment. ",
"Needs improvement in Online Assessment. "))) &amp;
IF(R4=0,
"Personal Interview not attempted. Active engagement is essential.",
IF(R4&gt;=16,
"Outstanding performance in Personal Interview. ",
IF(R4&gt;=10,
"Good performance in Personal Interview. ",
"Needs improvement in Personal Interview. "))) &amp;
IF(Z4=0,
"GD Round not attempted. Active participation is crucial.",
IF(Z4&gt;=16,
"Outstanding performance in GD Round. ",
IF(Z4&gt;=10,
"Good performance in GD Round. ",
"Needs improvement in GD Round. "))) &amp;
IF(AH4=0,
"HR Round not attempted. Engage in the assessment process.",
IF(AH4&gt;=16,
"Outstanding performance in HR Round. ",
IF(AH4&gt;=10,
"Good performance in HR Round. ",
"Needs improvement in HR Round."))))</f>
        <v>Needs improvement in Online Assessment. Personal Interview not attempted. Active engagement is essential.Good performance in GD Round. HR Round not attempted. Engage in the assessment process.</v>
      </c>
    </row>
    <row r="5" spans="1:43" ht="13">
      <c r="A5">
        <v>2</v>
      </c>
      <c r="B5" s="39" t="s">
        <v>41</v>
      </c>
      <c r="C5" s="40" t="s">
        <v>42</v>
      </c>
      <c r="D5" s="40">
        <v>7015199359</v>
      </c>
      <c r="E5" s="7" t="s">
        <v>253</v>
      </c>
      <c r="F5" s="4"/>
      <c r="G5" s="4"/>
      <c r="H5" s="7">
        <v>13.6</v>
      </c>
      <c r="I5" s="7">
        <v>26</v>
      </c>
      <c r="J5" s="28">
        <f>SUM(H5:I5)</f>
        <v>39.6</v>
      </c>
      <c r="K5" s="56">
        <v>39.6</v>
      </c>
      <c r="L5" s="28">
        <v>90</v>
      </c>
      <c r="M5" s="28" t="str">
        <f>IF(H5=0,
"Aptitude section not attempted. ",
IF(H5&gt;=33.75,
"Outstanding performance in Aptitude. ",
IF(H5&gt;=22.5,
"Good performance in Aptitude. ",
"Needs improvement in Aptitude. "))) &amp;
IF(I5=0,
" General MBA Questions section not attempted. ",
IF(I5&gt;=33.75,
" Outstanding performance in General MBA Questions. ",
IF(I5&gt;=22.5,
" Good performance in General MBA Questions. ",
" Needs improvement in General MBA Questions. ")))</f>
        <v xml:space="preserve">Needs improvement in Aptitude.  Good performance in General MBA Questions. </v>
      </c>
      <c r="N5" s="11">
        <v>3</v>
      </c>
      <c r="O5" s="11">
        <v>2</v>
      </c>
      <c r="P5" s="11">
        <v>2</v>
      </c>
      <c r="Q5" s="11">
        <v>3</v>
      </c>
      <c r="R5" s="41">
        <f>SUM(N5:Q5)</f>
        <v>10</v>
      </c>
      <c r="S5" s="60">
        <v>10</v>
      </c>
      <c r="T5" s="41">
        <v>20</v>
      </c>
      <c r="U5" s="45" t="str">
        <f>IF(AND(N5=0,O5=0,P5=0,Q5=0),
"Personal Interview not attempted. Please ensure participation next time.",
IF(N5=0,
"Self Expression not attempted. Focus on articulating thoughts clearly.",
IF(N5&gt;=4,
"Outstanding Self Expression. ",
IF(N5&gt;=2,
"Good Self Expression. ",
"Needs improvement in Self Expression. "))) &amp;
IF(O5=0,
"Domain Knowledge not attempted. Focus on relevant topics.",
IF(O5&gt;=4,
"Outstanding performance in Domain Knowledge. ",
IF(O5&gt;=2,
"Good performance in Domain Knowledge. ",
"Needs improvement in Domain Knowledge. "))) &amp;
IF(P5=0,
"Thought Process not attempted. Work on organizing your thoughts.",
IF(P5&gt;=4,
"Outstanding Thought Process. ",
IF(P5&gt;=2,
"Good Thought Process. ",
"Needs improvement in Thought Process. "))) &amp;
IF(Q5=0,
"Problem Solving Skills not attempted. Focus on practice.",
IF(Q5&gt;=4,
"Outstanding Problem Solving Skills. ",
IF(Q5&gt;=2,
"Good Problem Solving Skills. ",
"Needs improvement in Problem Solving Skills. "))))</f>
        <v xml:space="preserve">Good Self Expression. Good performance in Domain Knowledge. Good Thought Process. Good Problem Solving Skills. </v>
      </c>
      <c r="V5" s="43">
        <v>1</v>
      </c>
      <c r="W5" s="11">
        <v>1</v>
      </c>
      <c r="X5" s="3">
        <v>1</v>
      </c>
      <c r="Y5" s="87">
        <v>1</v>
      </c>
      <c r="Z5" s="3">
        <f>SUM(V5:Y5)</f>
        <v>4</v>
      </c>
      <c r="AA5" s="57">
        <v>4</v>
      </c>
      <c r="AB5" s="69">
        <v>20</v>
      </c>
      <c r="AC5" s="7" t="str">
        <f>IF(AND(V5=0,W5=0,X5=0,Y5=0),
"GD Round not attempted. Active participation is crucial.",
IF(V5=0,
"Participation not attempted. Engage more in discussions.",
IF(V5&gt;=4,
"Outstanding Participation. ",
IF(V5&gt;=2,
"Good Participation. ",
"Needs improvement in Participation. "))) &amp;
IF(W5=0,
"Communication not attempted. Focus on expressing ideas clearly.",
IF(W5&gt;=4,
"Outstanding Communication. ",
IF(W5&gt;=2,
"Good Communication. ",
"Needs improvement in Communication. "))) &amp;
IF(X5=0,
"Presence of Mind not attempted. Work on staying alert during discussions.",
IF(X5&gt;=4,
"Outstanding Presence of Mind. ",
IF(X5&gt;=2,
"Good Presence of Mind. ",
"Needs improvement in Presence of Mind. "))) &amp;
IF(Y5=0,
"Presentation not attempted. Enhance your presentation skills.",
IF(Y5&gt;=4,
"Outstanding Presentation. ",
IF(Y5&gt;=2,
"Good Presentation. ",
"Needs improvement in Presentation. "))))</f>
        <v xml:space="preserve">Needs improvement in Participation. Needs improvement in Communication. Needs improvement in Presence of Mind. Needs improvement in Presentation. </v>
      </c>
      <c r="AD5" s="89">
        <v>1</v>
      </c>
      <c r="AE5" s="10">
        <v>1</v>
      </c>
      <c r="AF5" s="10">
        <v>1</v>
      </c>
      <c r="AG5" s="10">
        <v>1</v>
      </c>
      <c r="AH5" s="19">
        <f>SUM(AD5:AG5)</f>
        <v>4</v>
      </c>
      <c r="AI5" s="73">
        <v>4</v>
      </c>
      <c r="AJ5" s="76">
        <v>20</v>
      </c>
      <c r="AK5" s="45" t="str">
        <f>IF(AND(AD5=0,AE5=0,AF5=0,AG5=0),
"HR Round not attempted. It's essential to participate in all assessments.",
IF(AD5=0,
"Values not attempted. Reflect on your core values.",
IF(AD5&gt;=4,
"Outstanding understanding of Values. ",
IF(AD5&gt;=2,
"Good understanding of Values. ",
"Needs improvement in understanding Values. "))) &amp;
IF(AE5=0,
"Career Goal not attempted. Define your career objectives clearly.",
IF(AE5&gt;=4,
"Outstanding clarity in Career Goals. ",
IF(AE5&gt;=2,
"Good clarity in Career Goals. ",
"Needs improvement in defining Career Goals. "))) &amp;
IF(AF5=0,
"Behavior Skills not attempted. Work on interpersonal skills.",
IF(AF5&gt;=4,
"Outstanding Behavior Skills. ",
IF(AF5&gt;=2,
"Good Behavior Skills. ",
"Needs improvement in Behavior Skills. "))) &amp;
IF(AG5=0,
"Role Fitment not attempted. Assess your fit for the role.",
IF(AG5&gt;=4,
"Outstanding Role Fitment. ",
IF(AG5&gt;=2,
"Good Role Fitment. ",
"Needs improvement in Role Fitment. "))))</f>
        <v xml:space="preserve">Needs improvement in understanding Values. Needs improvement in defining Career Goals. Needs improvement in Behavior Skills. Needs improvement in Role Fitment. </v>
      </c>
      <c r="AL5" s="65">
        <f>SUM(J5,R5,Z5,AH5)</f>
        <v>57.6</v>
      </c>
      <c r="AM5" s="57">
        <v>57.6</v>
      </c>
      <c r="AN5" s="70">
        <v>150</v>
      </c>
      <c r="AO5" s="57">
        <v>43</v>
      </c>
      <c r="AP5" s="52" t="str">
        <f>IF(AND(J5=0,R5=0,Z5=0,AH5=0),
"No participation in any assessment. Please ensure participation in future evaluations.",
IF(J5=0,
"Online Assessment not attempted. Focus on improving basic skills.",
IF(J5&gt;=67.5,
"Outstanding performance in Online Assessment. ",
IF(J5&gt;=45,
"Good performance in Online Assessment. ",
"Needs improvement in Online Assessment. "))) &amp;
IF(R5=0,
"Personal Interview not attempted. Active engagement is essential.",
IF(R5&gt;=16,
"Outstanding performance in Personal Interview. ",
IF(R5&gt;=10,
"Good performance in Personal Interview. ",
"Needs improvement in Personal Interview. "))) &amp;
IF(Z5=0,
"GD Round not attempted. Active participation is crucial.",
IF(Z5&gt;=16,
"Outstanding performance in GD Round. ",
IF(Z5&gt;=10,
"Good performance in GD Round. ",
"Needs improvement in GD Round. "))) &amp;
IF(AH5=0,
"HR Round not attempted. Engage in the assessment process.",
IF(AH5&gt;=16,
"Outstanding performance in HR Round. ",
IF(AH5&gt;=10,
"Good performance in HR Round. ",
"Needs improvement in HR Round."))))</f>
        <v>Needs improvement in Online Assessment. Good performance in Personal Interview. Needs improvement in GD Round. Needs improvement in HR Round.</v>
      </c>
    </row>
    <row r="6" spans="1:43" ht="13">
      <c r="A6">
        <v>3</v>
      </c>
      <c r="B6" s="39" t="s">
        <v>100</v>
      </c>
      <c r="C6" s="7" t="s">
        <v>248</v>
      </c>
      <c r="D6" s="40">
        <v>7087432167</v>
      </c>
      <c r="E6" s="7" t="s">
        <v>253</v>
      </c>
      <c r="F6" s="6"/>
      <c r="G6" s="6"/>
      <c r="H6" s="7">
        <v>9.65</v>
      </c>
      <c r="I6" s="7">
        <v>24</v>
      </c>
      <c r="J6" s="28">
        <f>SUM(H6:I6)</f>
        <v>33.65</v>
      </c>
      <c r="K6" s="56">
        <v>33.65</v>
      </c>
      <c r="L6" s="28">
        <v>90</v>
      </c>
      <c r="M6" s="28" t="str">
        <f>IF(H6=0,
"Aptitude section not attempted. ",
IF(H6&gt;=33.75,
"Outstanding performance in Aptitude. ",
IF(H6&gt;=22.5,
"Good performance in Aptitude. ",
"Needs improvement in Aptitude. "))) &amp;
IF(I6=0,
" General MBA Questions section not attempted. ",
IF(I6&gt;=33.75,
" Outstanding performance in General MBA Questions. ",
IF(I6&gt;=22.5,
" Good performance in General MBA Questions. ",
" Needs improvement in General MBA Questions. ")))</f>
        <v xml:space="preserve">Needs improvement in Aptitude.  Good performance in General MBA Questions. </v>
      </c>
      <c r="N6" s="11">
        <v>0</v>
      </c>
      <c r="O6" s="11">
        <v>0</v>
      </c>
      <c r="P6" s="11">
        <v>0</v>
      </c>
      <c r="Q6" s="11">
        <v>0</v>
      </c>
      <c r="R6" s="41">
        <f>SUM(N6:Q6)</f>
        <v>0</v>
      </c>
      <c r="S6" s="60" t="s">
        <v>259</v>
      </c>
      <c r="T6" s="41">
        <v>20</v>
      </c>
      <c r="U6" s="45" t="str">
        <f>IF(AND(N6=0,O6=0,P6=0,Q6=0),
"Personal Interview not attempted. Please ensure participation next time.",
IF(N6=0,
"Self Expression not attempted. Focus on articulating thoughts clearly.",
IF(N6&gt;=4,
"Outstanding Self Expression. ",
IF(N6&gt;=2,
"Good Self Expression. ",
"Needs improvement in Self Expression. "))) &amp;
IF(O6=0,
"Domain Knowledge not attempted. Focus on relevant topics.",
IF(O6&gt;=4,
"Outstanding performance in Domain Knowledge. ",
IF(O6&gt;=2,
"Good performance in Domain Knowledge. ",
"Needs improvement in Domain Knowledge. "))) &amp;
IF(P6=0,
"Thought Process not attempted. Work on organizing your thoughts.",
IF(P6&gt;=4,
"Outstanding Thought Process. ",
IF(P6&gt;=2,
"Good Thought Process. ",
"Needs improvement in Thought Process. "))) &amp;
IF(Q6=0,
"Problem Solving Skills not attempted. Focus on practice.",
IF(Q6&gt;=4,
"Outstanding Problem Solving Skills. ",
IF(Q6&gt;=2,
"Good Problem Solving Skills. ",
"Needs improvement in Problem Solving Skills. "))))</f>
        <v>Personal Interview not attempted. Please ensure participation next time.</v>
      </c>
      <c r="V6" s="43">
        <v>3</v>
      </c>
      <c r="W6" s="11">
        <v>3</v>
      </c>
      <c r="X6" s="3">
        <v>2</v>
      </c>
      <c r="Y6">
        <v>3</v>
      </c>
      <c r="Z6" s="3">
        <f>SUM(V6:Y6)</f>
        <v>11</v>
      </c>
      <c r="AA6" s="57">
        <v>11</v>
      </c>
      <c r="AB6" s="69">
        <v>20</v>
      </c>
      <c r="AC6" s="7" t="str">
        <f>IF(AND(V6=0,W6=0,X6=0,Y6=0),
"GD Round not attempted. Active participation is crucial.",
IF(V6=0,
"Participation not attempted. Engage more in discussions.",
IF(V6&gt;=4,
"Outstanding Participation. ",
IF(V6&gt;=2,
"Good Participation. ",
"Needs improvement in Participation. "))) &amp;
IF(W6=0,
"Communication not attempted. Focus on expressing ideas clearly.",
IF(W6&gt;=4,
"Outstanding Communication. ",
IF(W6&gt;=2,
"Good Communication. ",
"Needs improvement in Communication. "))) &amp;
IF(X6=0,
"Presence of Mind not attempted. Work on staying alert during discussions.",
IF(X6&gt;=4,
"Outstanding Presence of Mind. ",
IF(X6&gt;=2,
"Good Presence of Mind. ",
"Needs improvement in Presence of Mind. "))) &amp;
IF(Y6=0,
"Presentation not attempted. Enhance your presentation skills.",
IF(Y6&gt;=4,
"Outstanding Presentation. ",
IF(Y6&gt;=2,
"Good Presentation. ",
"Needs improvement in Presentation. "))))</f>
        <v xml:space="preserve">Good Participation. Good Communication. Good Presence of Mind. Good Presentation. </v>
      </c>
      <c r="AD6" s="43">
        <v>5</v>
      </c>
      <c r="AE6" s="11">
        <v>5</v>
      </c>
      <c r="AF6" s="88">
        <v>5</v>
      </c>
      <c r="AG6" s="25">
        <v>5</v>
      </c>
      <c r="AH6" s="19">
        <f>SUM(AD6:AG6)</f>
        <v>20</v>
      </c>
      <c r="AI6" s="73">
        <v>20</v>
      </c>
      <c r="AJ6" s="76">
        <v>20</v>
      </c>
      <c r="AK6" s="45" t="str">
        <f>IF(AND(AD6=0,AE6=0,AF6=0,AG6=0),
"HR Round not attempted. It's essential to participate in all assessments.",
IF(AD6=0,
"Values not attempted. Reflect on your core values.",
IF(AD6&gt;=4,
"Outstanding understanding of Values. ",
IF(AD6&gt;=2,
"Good understanding of Values. ",
"Needs improvement in understanding Values. "))) &amp;
IF(AE6=0,
"Career Goal not attempted. Define your career objectives clearly.",
IF(AE6&gt;=4,
"Outstanding clarity in Career Goals. ",
IF(AE6&gt;=2,
"Good clarity in Career Goals. ",
"Needs improvement in defining Career Goals. "))) &amp;
IF(AF6=0,
"Behavior Skills not attempted. Work on interpersonal skills.",
IF(AF6&gt;=4,
"Outstanding Behavior Skills. ",
IF(AF6&gt;=2,
"Good Behavior Skills. ",
"Needs improvement in Behavior Skills. "))) &amp;
IF(AG6=0,
"Role Fitment not attempted. Assess your fit for the role.",
IF(AG6&gt;=4,
"Outstanding Role Fitment. ",
IF(AG6&gt;=2,
"Good Role Fitment. ",
"Needs improvement in Role Fitment. "))))</f>
        <v xml:space="preserve">Outstanding understanding of Values. Outstanding clarity in Career Goals. Outstanding Behavior Skills. Outstanding Role Fitment. </v>
      </c>
      <c r="AL6" s="65">
        <f>SUM(J6,R6,Z6,AH6)</f>
        <v>64.650000000000006</v>
      </c>
      <c r="AM6" s="57">
        <v>64.650000000000006</v>
      </c>
      <c r="AN6" s="70">
        <v>150</v>
      </c>
      <c r="AO6" s="57">
        <v>23</v>
      </c>
      <c r="AP6" s="52" t="str">
        <f>IF(AND(J6=0,R6=0,Z6=0,AH6=0),
"No participation in any assessment. Please ensure participation in future evaluations.",
IF(J6=0,
"Online Assessment not attempted. Focus on improving basic skills.",
IF(J6&gt;=67.5,
"Outstanding performance in Online Assessment. ",
IF(J6&gt;=45,
"Good performance in Online Assessment. ",
"Needs improvement in Online Assessment. "))) &amp;
IF(R6=0,
"Personal Interview not attempted. Active engagement is essential.",
IF(R6&gt;=16,
"Outstanding performance in Personal Interview. ",
IF(R6&gt;=10,
"Good performance in Personal Interview. ",
"Needs improvement in Personal Interview. "))) &amp;
IF(Z6=0,
"GD Round not attempted. Active participation is crucial.",
IF(Z6&gt;=16,
"Outstanding performance in GD Round. ",
IF(Z6&gt;=10,
"Good performance in GD Round. ",
"Needs improvement in GD Round. "))) &amp;
IF(AH6=0,
"HR Round not attempted. Engage in the assessment process.",
IF(AH6&gt;=16,
"Outstanding performance in HR Round. ",
IF(AH6&gt;=10,
"Good performance in HR Round. ",
"Needs improvement in HR Round."))))</f>
        <v xml:space="preserve">Needs improvement in Online Assessment. Personal Interview not attempted. Active engagement is essential.Good performance in GD Round. Outstanding performance in HR Round. </v>
      </c>
    </row>
    <row r="7" spans="1:43" ht="13">
      <c r="A7">
        <v>4</v>
      </c>
      <c r="B7" s="39" t="s">
        <v>159</v>
      </c>
      <c r="C7" s="40" t="s">
        <v>160</v>
      </c>
      <c r="D7" s="40">
        <v>9812509944</v>
      </c>
      <c r="E7" s="7" t="s">
        <v>253</v>
      </c>
      <c r="F7" s="7"/>
      <c r="G7" s="7"/>
      <c r="H7" s="7">
        <v>12.8</v>
      </c>
      <c r="I7" s="7">
        <v>18</v>
      </c>
      <c r="J7" s="28">
        <f>SUM(H7:I7)</f>
        <v>30.8</v>
      </c>
      <c r="K7" s="56">
        <v>30.8</v>
      </c>
      <c r="L7" s="28">
        <v>90</v>
      </c>
      <c r="M7" s="28" t="str">
        <f>IF(H7=0,
"Aptitude section not attempted. ",
IF(H7&gt;=33.75,
"Outstanding performance in Aptitude. ",
IF(H7&gt;=22.5,
"Good performance in Aptitude. ",
"Needs improvement in Aptitude. "))) &amp;
IF(I7=0,
" General MBA Questions section not attempted. ",
IF(I7&gt;=33.75,
" Outstanding performance in General MBA Questions. ",
IF(I7&gt;=22.5,
" Good performance in General MBA Questions. ",
" Needs improvement in General MBA Questions. ")))</f>
        <v xml:space="preserve">Needs improvement in Aptitude.  Needs improvement in General MBA Questions. </v>
      </c>
      <c r="N7" s="7">
        <v>2</v>
      </c>
      <c r="O7" s="7">
        <v>2</v>
      </c>
      <c r="P7" s="7">
        <v>2</v>
      </c>
      <c r="Q7" s="7">
        <v>2</v>
      </c>
      <c r="R7" s="41">
        <f>SUM(N7:Q7)</f>
        <v>8</v>
      </c>
      <c r="S7" s="60">
        <v>8</v>
      </c>
      <c r="T7" s="41">
        <v>20</v>
      </c>
      <c r="U7" s="45" t="str">
        <f>IF(AND(N7=0,O7=0,P7=0,Q7=0),
"Personal Interview not attempted. Please ensure participation next time.",
IF(N7=0,
"Self Expression not attempted. Focus on articulating thoughts clearly.",
IF(N7&gt;=4,
"Outstanding Self Expression. ",
IF(N7&gt;=2,
"Good Self Expression. ",
"Needs improvement in Self Expression. "))) &amp;
IF(O7=0,
"Domain Knowledge not attempted. Focus on relevant topics.",
IF(O7&gt;=4,
"Outstanding performance in Domain Knowledge. ",
IF(O7&gt;=2,
"Good performance in Domain Knowledge. ",
"Needs improvement in Domain Knowledge. "))) &amp;
IF(P7=0,
"Thought Process not attempted. Work on organizing your thoughts.",
IF(P7&gt;=4,
"Outstanding Thought Process. ",
IF(P7&gt;=2,
"Good Thought Process. ",
"Needs improvement in Thought Process. "))) &amp;
IF(Q7=0,
"Problem Solving Skills not attempted. Focus on practice.",
IF(Q7&gt;=4,
"Outstanding Problem Solving Skills. ",
IF(Q7&gt;=2,
"Good Problem Solving Skills. ",
"Needs improvement in Problem Solving Skills. "))))</f>
        <v xml:space="preserve">Good Self Expression. Good performance in Domain Knowledge. Good Thought Process. Good Problem Solving Skills. </v>
      </c>
      <c r="V7" s="43">
        <v>3</v>
      </c>
      <c r="W7" s="11">
        <v>3</v>
      </c>
      <c r="X7" s="3">
        <v>2</v>
      </c>
      <c r="Y7" s="88">
        <v>3</v>
      </c>
      <c r="Z7" s="3">
        <f>SUM(V7:Y7)</f>
        <v>11</v>
      </c>
      <c r="AA7" s="57">
        <v>11</v>
      </c>
      <c r="AB7" s="69">
        <v>20</v>
      </c>
      <c r="AC7" s="7" t="str">
        <f>IF(AND(V7=0,W7=0,X7=0,Y7=0),
"GD Round not attempted. Active participation is crucial.",
IF(V7=0,
"Participation not attempted. Engage more in discussions.",
IF(V7&gt;=4,
"Outstanding Participation. ",
IF(V7&gt;=2,
"Good Participation. ",
"Needs improvement in Participation. "))) &amp;
IF(W7=0,
"Communication not attempted. Focus on expressing ideas clearly.",
IF(W7&gt;=4,
"Outstanding Communication. ",
IF(W7&gt;=2,
"Good Communication. ",
"Needs improvement in Communication. "))) &amp;
IF(X7=0,
"Presence of Mind not attempted. Work on staying alert during discussions.",
IF(X7&gt;=4,
"Outstanding Presence of Mind. ",
IF(X7&gt;=2,
"Good Presence of Mind. ",
"Needs improvement in Presence of Mind. "))) &amp;
IF(Y7=0,
"Presentation not attempted. Enhance your presentation skills.",
IF(Y7&gt;=4,
"Outstanding Presentation. ",
IF(Y7&gt;=2,
"Good Presentation. ",
"Needs improvement in Presentation. "))))</f>
        <v xml:space="preserve">Good Participation. Good Communication. Good Presence of Mind. Good Presentation. </v>
      </c>
      <c r="AD7" s="43">
        <v>0</v>
      </c>
      <c r="AE7" s="11">
        <v>0</v>
      </c>
      <c r="AF7" s="90">
        <v>0</v>
      </c>
      <c r="AG7" s="26">
        <v>0</v>
      </c>
      <c r="AH7" s="19">
        <f>SUM(AD7:AG7)</f>
        <v>0</v>
      </c>
      <c r="AI7" s="73" t="s">
        <v>259</v>
      </c>
      <c r="AJ7" s="76">
        <v>20</v>
      </c>
      <c r="AK7" s="45" t="str">
        <f>IF(AND(AD7=0,AE7=0,AF7=0,AG7=0),
"HR Round not attempted. It's essential to participate in all assessments.",
IF(AD7=0,
"Values not attempted. Reflect on your core values.",
IF(AD7&gt;=4,
"Outstanding understanding of Values. ",
IF(AD7&gt;=2,
"Good understanding of Values. ",
"Needs improvement in understanding Values. "))) &amp;
IF(AE7=0,
"Career Goal not attempted. Define your career objectives clearly.",
IF(AE7&gt;=4,
"Outstanding clarity in Career Goals. ",
IF(AE7&gt;=2,
"Good clarity in Career Goals. ",
"Needs improvement in defining Career Goals. "))) &amp;
IF(AF7=0,
"Behavior Skills not attempted. Work on interpersonal skills.",
IF(AF7&gt;=4,
"Outstanding Behavior Skills. ",
IF(AF7&gt;=2,
"Good Behavior Skills. ",
"Needs improvement in Behavior Skills. "))) &amp;
IF(AG7=0,
"Role Fitment not attempted. Assess your fit for the role.",
IF(AG7&gt;=4,
"Outstanding Role Fitment. ",
IF(AG7&gt;=2,
"Good Role Fitment. ",
"Needs improvement in Role Fitment. "))))</f>
        <v>HR Round not attempted. It's essential to participate in all assessments.</v>
      </c>
      <c r="AL7" s="65">
        <f>SUM(J7,R7,Z7,AH7)</f>
        <v>49.8</v>
      </c>
      <c r="AM7" s="57">
        <v>49.8</v>
      </c>
      <c r="AN7" s="70">
        <v>150</v>
      </c>
      <c r="AO7" s="57">
        <v>57</v>
      </c>
      <c r="AP7" s="52" t="str">
        <f>IF(AND(J7=0,R7=0,Z7=0,AH7=0),
"No participation in any assessment. Please ensure participation in future evaluations.",
IF(J7=0,
"Online Assessment not attempted. Focus on improving basic skills.",
IF(J7&gt;=67.5,
"Outstanding performance in Online Assessment. ",
IF(J7&gt;=45,
"Good performance in Online Assessment. ",
"Needs improvement in Online Assessment. "))) &amp;
IF(R7=0,
"Personal Interview not attempted. Active engagement is essential.",
IF(R7&gt;=16,
"Outstanding performance in Personal Interview. ",
IF(R7&gt;=10,
"Good performance in Personal Interview. ",
"Needs improvement in Personal Interview. "))) &amp;
IF(Z7=0,
"GD Round not attempted. Active participation is crucial.",
IF(Z7&gt;=16,
"Outstanding performance in GD Round. ",
IF(Z7&gt;=10,
"Good performance in GD Round. ",
"Needs improvement in GD Round. "))) &amp;
IF(AH7=0,
"HR Round not attempted. Engage in the assessment process.",
IF(AH7&gt;=16,
"Outstanding performance in HR Round. ",
IF(AH7&gt;=10,
"Good performance in HR Round. ",
"Needs improvement in HR Round."))))</f>
        <v>Needs improvement in Online Assessment. Needs improvement in Personal Interview. Good performance in GD Round. HR Round not attempted. Engage in the assessment process.</v>
      </c>
    </row>
    <row r="8" spans="1:43" ht="13">
      <c r="A8">
        <v>5</v>
      </c>
      <c r="B8" s="39" t="s">
        <v>88</v>
      </c>
      <c r="C8" s="40" t="s">
        <v>89</v>
      </c>
      <c r="D8" s="40">
        <v>9455862000</v>
      </c>
      <c r="E8" s="7" t="s">
        <v>253</v>
      </c>
      <c r="F8" s="6"/>
      <c r="G8" s="6"/>
      <c r="H8" s="7">
        <v>9.65</v>
      </c>
      <c r="I8" s="7">
        <v>28</v>
      </c>
      <c r="J8" s="28">
        <f>SUM(H8:I8)</f>
        <v>37.65</v>
      </c>
      <c r="K8" s="56">
        <v>37.65</v>
      </c>
      <c r="L8" s="28">
        <v>90</v>
      </c>
      <c r="M8" s="28" t="str">
        <f>IF(H8=0,
"Aptitude section not attempted. ",
IF(H8&gt;=33.75,
"Outstanding performance in Aptitude. ",
IF(H8&gt;=22.5,
"Good performance in Aptitude. ",
"Needs improvement in Aptitude. "))) &amp;
IF(I8=0,
" General MBA Questions section not attempted. ",
IF(I8&gt;=33.75,
" Outstanding performance in General MBA Questions. ",
IF(I8&gt;=22.5,
" Good performance in General MBA Questions. ",
" Needs improvement in General MBA Questions. ")))</f>
        <v xml:space="preserve">Needs improvement in Aptitude.  Good performance in General MBA Questions. </v>
      </c>
      <c r="N8" s="11">
        <v>4</v>
      </c>
      <c r="O8" s="11">
        <v>2</v>
      </c>
      <c r="P8" s="11">
        <v>3</v>
      </c>
      <c r="Q8" s="11">
        <v>3</v>
      </c>
      <c r="R8" s="41">
        <f>SUM(N8:Q8)</f>
        <v>12</v>
      </c>
      <c r="S8" s="60">
        <v>12</v>
      </c>
      <c r="T8" s="41">
        <v>20</v>
      </c>
      <c r="U8" s="45" t="str">
        <f>IF(AND(N8=0,O8=0,P8=0,Q8=0),
"Personal Interview not attempted. Please ensure participation next time.",
IF(N8=0,
"Self Expression not attempted. Focus on articulating thoughts clearly.",
IF(N8&gt;=4,
"Outstanding Self Expression. ",
IF(N8&gt;=2,
"Good Self Expression. ",
"Needs improvement in Self Expression. "))) &amp;
IF(O8=0,
"Domain Knowledge not attempted. Focus on relevant topics.",
IF(O8&gt;=4,
"Outstanding performance in Domain Knowledge. ",
IF(O8&gt;=2,
"Good performance in Domain Knowledge. ",
"Needs improvement in Domain Knowledge. "))) &amp;
IF(P8=0,
"Thought Process not attempted. Work on organizing your thoughts.",
IF(P8&gt;=4,
"Outstanding Thought Process. ",
IF(P8&gt;=2,
"Good Thought Process. ",
"Needs improvement in Thought Process. "))) &amp;
IF(Q8=0,
"Problem Solving Skills not attempted. Focus on practice.",
IF(Q8&gt;=4,
"Outstanding Problem Solving Skills. ",
IF(Q8&gt;=2,
"Good Problem Solving Skills. ",
"Needs improvement in Problem Solving Skills. "))))</f>
        <v xml:space="preserve">Outstanding Self Expression. Good performance in Domain Knowledge. Good Thought Process. Good Problem Solving Skills. </v>
      </c>
      <c r="V8" s="43">
        <v>3</v>
      </c>
      <c r="W8" s="11">
        <v>3</v>
      </c>
      <c r="X8" s="3">
        <v>3</v>
      </c>
      <c r="Y8" s="26">
        <v>3</v>
      </c>
      <c r="Z8" s="3">
        <f>SUM(V8:Y8)</f>
        <v>12</v>
      </c>
      <c r="AA8" s="57">
        <v>12</v>
      </c>
      <c r="AB8" s="69">
        <v>20</v>
      </c>
      <c r="AC8" s="7" t="str">
        <f>IF(AND(V8=0,W8=0,X8=0,Y8=0),
"GD Round not attempted. Active participation is crucial.",
IF(V8=0,
"Participation not attempted. Engage more in discussions.",
IF(V8&gt;=4,
"Outstanding Participation. ",
IF(V8&gt;=2,
"Good Participation. ",
"Needs improvement in Participation. "))) &amp;
IF(W8=0,
"Communication not attempted. Focus on expressing ideas clearly.",
IF(W8&gt;=4,
"Outstanding Communication. ",
IF(W8&gt;=2,
"Good Communication. ",
"Needs improvement in Communication. "))) &amp;
IF(X8=0,
"Presence of Mind not attempted. Work on staying alert during discussions.",
IF(X8&gt;=4,
"Outstanding Presence of Mind. ",
IF(X8&gt;=2,
"Good Presence of Mind. ",
"Needs improvement in Presence of Mind. "))) &amp;
IF(Y8=0,
"Presentation not attempted. Enhance your presentation skills.",
IF(Y8&gt;=4,
"Outstanding Presentation. ",
IF(Y8&gt;=2,
"Good Presentation. ",
"Needs improvement in Presentation. "))))</f>
        <v xml:space="preserve">Good Participation. Good Communication. Good Presence of Mind. Good Presentation. </v>
      </c>
      <c r="AD8" s="43">
        <v>4</v>
      </c>
      <c r="AE8" s="11">
        <v>2</v>
      </c>
      <c r="AF8" s="11">
        <v>3</v>
      </c>
      <c r="AG8" s="10">
        <v>3</v>
      </c>
      <c r="AH8" s="19">
        <f>SUM(AD8:AG8)</f>
        <v>12</v>
      </c>
      <c r="AI8" s="73">
        <v>12</v>
      </c>
      <c r="AJ8" s="76">
        <v>20</v>
      </c>
      <c r="AK8" s="45" t="str">
        <f>IF(AND(AD8=0,AE8=0,AF8=0,AG8=0),
"HR Round not attempted. It's essential to participate in all assessments.",
IF(AD8=0,
"Values not attempted. Reflect on your core values.",
IF(AD8&gt;=4,
"Outstanding understanding of Values. ",
IF(AD8&gt;=2,
"Good understanding of Values. ",
"Needs improvement in understanding Values. "))) &amp;
IF(AE8=0,
"Career Goal not attempted. Define your career objectives clearly.",
IF(AE8&gt;=4,
"Outstanding clarity in Career Goals. ",
IF(AE8&gt;=2,
"Good clarity in Career Goals. ",
"Needs improvement in defining Career Goals. "))) &amp;
IF(AF8=0,
"Behavior Skills not attempted. Work on interpersonal skills.",
IF(AF8&gt;=4,
"Outstanding Behavior Skills. ",
IF(AF8&gt;=2,
"Good Behavior Skills. ",
"Needs improvement in Behavior Skills. "))) &amp;
IF(AG8=0,
"Role Fitment not attempted. Assess your fit for the role.",
IF(AG8&gt;=4,
"Outstanding Role Fitment. ",
IF(AG8&gt;=2,
"Good Role Fitment. ",
"Needs improvement in Role Fitment. "))))</f>
        <v xml:space="preserve">Outstanding understanding of Values. Good clarity in Career Goals. Good Behavior Skills. Good Role Fitment. </v>
      </c>
      <c r="AL8" s="65">
        <f>SUM(J8,R8,Z8,AH8)</f>
        <v>73.650000000000006</v>
      </c>
      <c r="AM8" s="57">
        <v>73.650000000000006</v>
      </c>
      <c r="AN8" s="70">
        <v>150</v>
      </c>
      <c r="AO8" s="57">
        <v>11</v>
      </c>
      <c r="AP8" s="52" t="str">
        <f>IF(AND(J8=0,R8=0,Z8=0,AH8=0),
"No participation in any assessment. Please ensure participation in future evaluations.",
IF(J8=0,
"Online Assessment not attempted. Focus on improving basic skills.",
IF(J8&gt;=67.5,
"Outstanding performance in Online Assessment. ",
IF(J8&gt;=45,
"Good performance in Online Assessment. ",
"Needs improvement in Online Assessment. "))) &amp;
IF(R8=0,
"Personal Interview not attempted. Active engagement is essential.",
IF(R8&gt;=16,
"Outstanding performance in Personal Interview. ",
IF(R8&gt;=10,
"Good performance in Personal Interview. ",
"Needs improvement in Personal Interview. "))) &amp;
IF(Z8=0,
"GD Round not attempted. Active participation is crucial.",
IF(Z8&gt;=16,
"Outstanding performance in GD Round. ",
IF(Z8&gt;=10,
"Good performance in GD Round. ",
"Needs improvement in GD Round. "))) &amp;
IF(AH8=0,
"HR Round not attempted. Engage in the assessment process.",
IF(AH8&gt;=16,
"Outstanding performance in HR Round. ",
IF(AH8&gt;=10,
"Good performance in HR Round. ",
"Needs improvement in HR Round."))))</f>
        <v xml:space="preserve">Needs improvement in Online Assessment. Good performance in Personal Interview. Good performance in GD Round. Good performance in HR Round. </v>
      </c>
    </row>
    <row r="9" spans="1:43" ht="13">
      <c r="A9">
        <v>6</v>
      </c>
      <c r="B9" s="39" t="s">
        <v>122</v>
      </c>
      <c r="C9" s="40" t="s">
        <v>123</v>
      </c>
      <c r="D9" s="40">
        <v>8146592881</v>
      </c>
      <c r="E9" s="7" t="s">
        <v>253</v>
      </c>
      <c r="F9" s="6"/>
      <c r="G9" s="6"/>
      <c r="H9" s="7">
        <v>13.65</v>
      </c>
      <c r="I9" s="7">
        <v>37</v>
      </c>
      <c r="J9" s="28">
        <f>SUM(H9:I9)</f>
        <v>50.65</v>
      </c>
      <c r="K9" s="56">
        <v>50.65</v>
      </c>
      <c r="L9" s="28">
        <v>90</v>
      </c>
      <c r="M9" s="28" t="str">
        <f>IF(H9=0,
"Aptitude section not attempted. ",
IF(H9&gt;=33.75,
"Outstanding performance in Aptitude. ",
IF(H9&gt;=22.5,
"Good performance in Aptitude. ",
"Needs improvement in Aptitude. "))) &amp;
IF(I9=0,
" General MBA Questions section not attempted. ",
IF(I9&gt;=33.75,
" Outstanding performance in General MBA Questions. ",
IF(I9&gt;=22.5,
" Good performance in General MBA Questions. ",
" Needs improvement in General MBA Questions. ")))</f>
        <v xml:space="preserve">Needs improvement in Aptitude.  Outstanding performance in General MBA Questions. </v>
      </c>
      <c r="N9" s="11">
        <v>0</v>
      </c>
      <c r="O9" s="11">
        <v>0</v>
      </c>
      <c r="P9" s="11">
        <v>0</v>
      </c>
      <c r="Q9" s="11">
        <v>0</v>
      </c>
      <c r="R9" s="41">
        <f>SUM(N9:Q9)</f>
        <v>0</v>
      </c>
      <c r="S9" s="60" t="s">
        <v>259</v>
      </c>
      <c r="T9" s="41">
        <v>20</v>
      </c>
      <c r="U9" s="45" t="str">
        <f>IF(AND(N9=0,O9=0,P9=0,Q9=0),
"Personal Interview not attempted. Please ensure participation next time.",
IF(N9=0,
"Self Expression not attempted. Focus on articulating thoughts clearly.",
IF(N9&gt;=4,
"Outstanding Self Expression. ",
IF(N9&gt;=2,
"Good Self Expression. ",
"Needs improvement in Self Expression. "))) &amp;
IF(O9=0,
"Domain Knowledge not attempted. Focus on relevant topics.",
IF(O9&gt;=4,
"Outstanding performance in Domain Knowledge. ",
IF(O9&gt;=2,
"Good performance in Domain Knowledge. ",
"Needs improvement in Domain Knowledge. "))) &amp;
IF(P9=0,
"Thought Process not attempted. Work on organizing your thoughts.",
IF(P9&gt;=4,
"Outstanding Thought Process. ",
IF(P9&gt;=2,
"Good Thought Process. ",
"Needs improvement in Thought Process. "))) &amp;
IF(Q9=0,
"Problem Solving Skills not attempted. Focus on practice.",
IF(Q9&gt;=4,
"Outstanding Problem Solving Skills. ",
IF(Q9&gt;=2,
"Good Problem Solving Skills. ",
"Needs improvement in Problem Solving Skills. "))))</f>
        <v>Personal Interview not attempted. Please ensure participation next time.</v>
      </c>
      <c r="V9" s="43">
        <v>2</v>
      </c>
      <c r="W9" s="11">
        <v>3</v>
      </c>
      <c r="X9" s="3">
        <v>2</v>
      </c>
      <c r="Y9" s="26">
        <v>3</v>
      </c>
      <c r="Z9" s="3">
        <f>SUM(V9:Y9)</f>
        <v>10</v>
      </c>
      <c r="AA9" s="57">
        <v>10</v>
      </c>
      <c r="AB9" s="69">
        <v>20</v>
      </c>
      <c r="AC9" s="7" t="str">
        <f>IF(AND(V9=0,W9=0,X9=0,Y9=0),
"GD Round not attempted. Active participation is crucial.",
IF(V9=0,
"Participation not attempted. Engage more in discussions.",
IF(V9&gt;=4,
"Outstanding Participation. ",
IF(V9&gt;=2,
"Good Participation. ",
"Needs improvement in Participation. "))) &amp;
IF(W9=0,
"Communication not attempted. Focus on expressing ideas clearly.",
IF(W9&gt;=4,
"Outstanding Communication. ",
IF(W9&gt;=2,
"Good Communication. ",
"Needs improvement in Communication. "))) &amp;
IF(X9=0,
"Presence of Mind not attempted. Work on staying alert during discussions.",
IF(X9&gt;=4,
"Outstanding Presence of Mind. ",
IF(X9&gt;=2,
"Good Presence of Mind. ",
"Needs improvement in Presence of Mind. "))) &amp;
IF(Y9=0,
"Presentation not attempted. Enhance your presentation skills.",
IF(Y9&gt;=4,
"Outstanding Presentation. ",
IF(Y9&gt;=2,
"Good Presentation. ",
"Needs improvement in Presentation. "))))</f>
        <v xml:space="preserve">Good Participation. Good Communication. Good Presence of Mind. Good Presentation. </v>
      </c>
      <c r="AD9" s="43">
        <v>0</v>
      </c>
      <c r="AE9" s="11">
        <v>0</v>
      </c>
      <c r="AF9" s="82">
        <v>0</v>
      </c>
      <c r="AG9" s="5">
        <v>0</v>
      </c>
      <c r="AH9" s="19">
        <f>SUM(AD9:AG9)</f>
        <v>0</v>
      </c>
      <c r="AI9" s="73" t="s">
        <v>259</v>
      </c>
      <c r="AJ9" s="76">
        <v>20</v>
      </c>
      <c r="AK9" s="45" t="str">
        <f>IF(AND(AD9=0,AE9=0,AF9=0,AG9=0),
"HR Round not attempted. It's essential to participate in all assessments.",
IF(AD9=0,
"Values not attempted. Reflect on your core values.",
IF(AD9&gt;=4,
"Outstanding understanding of Values. ",
IF(AD9&gt;=2,
"Good understanding of Values. ",
"Needs improvement in understanding Values. "))) &amp;
IF(AE9=0,
"Career Goal not attempted. Define your career objectives clearly.",
IF(AE9&gt;=4,
"Outstanding clarity in Career Goals. ",
IF(AE9&gt;=2,
"Good clarity in Career Goals. ",
"Needs improvement in defining Career Goals. "))) &amp;
IF(AF9=0,
"Behavior Skills not attempted. Work on interpersonal skills.",
IF(AF9&gt;=4,
"Outstanding Behavior Skills. ",
IF(AF9&gt;=2,
"Good Behavior Skills. ",
"Needs improvement in Behavior Skills. "))) &amp;
IF(AG9=0,
"Role Fitment not attempted. Assess your fit for the role.",
IF(AG9&gt;=4,
"Outstanding Role Fitment. ",
IF(AG9&gt;=2,
"Good Role Fitment. ",
"Needs improvement in Role Fitment. "))))</f>
        <v>HR Round not attempted. It's essential to participate in all assessments.</v>
      </c>
      <c r="AL9" s="65">
        <f>SUM(J9,R9,Z9,AH9)</f>
        <v>60.65</v>
      </c>
      <c r="AM9" s="57">
        <v>60.65</v>
      </c>
      <c r="AN9" s="70">
        <v>150</v>
      </c>
      <c r="AO9" s="57">
        <v>33</v>
      </c>
      <c r="AP9" s="52" t="str">
        <f>IF(AND(J9=0,R9=0,Z9=0,AH9=0),
"No participation in any assessment. Please ensure participation in future evaluations.",
IF(J9=0,
"Online Assessment not attempted. Focus on improving basic skills.",
IF(J9&gt;=67.5,
"Outstanding performance in Online Assessment. ",
IF(J9&gt;=45,
"Good performance in Online Assessment. ",
"Needs improvement in Online Assessment. "))) &amp;
IF(R9=0,
"Personal Interview not attempted. Active engagement is essential.",
IF(R9&gt;=16,
"Outstanding performance in Personal Interview. ",
IF(R9&gt;=10,
"Good performance in Personal Interview. ",
"Needs improvement in Personal Interview. "))) &amp;
IF(Z9=0,
"GD Round not attempted. Active participation is crucial.",
IF(Z9&gt;=16,
"Outstanding performance in GD Round. ",
IF(Z9&gt;=10,
"Good performance in GD Round. ",
"Needs improvement in GD Round. "))) &amp;
IF(AH9=0,
"HR Round not attempted. Engage in the assessment process.",
IF(AH9&gt;=16,
"Outstanding performance in HR Round. ",
IF(AH9&gt;=10,
"Good performance in HR Round. ",
"Needs improvement in HR Round."))))</f>
        <v>Good performance in Online Assessment. Personal Interview not attempted. Active engagement is essential.Good performance in GD Round. HR Round not attempted. Engage in the assessment process.</v>
      </c>
    </row>
    <row r="10" spans="1:43" ht="13">
      <c r="A10">
        <v>7</v>
      </c>
      <c r="B10" s="39" t="s">
        <v>49</v>
      </c>
      <c r="C10" s="40" t="s">
        <v>50</v>
      </c>
      <c r="D10" s="40">
        <v>9915325292</v>
      </c>
      <c r="E10" s="7" t="s">
        <v>253</v>
      </c>
      <c r="F10" s="6"/>
      <c r="G10" s="6"/>
      <c r="H10" s="7">
        <v>0</v>
      </c>
      <c r="I10" s="7">
        <v>0</v>
      </c>
      <c r="J10" s="28">
        <f>SUM(H10:I10)</f>
        <v>0</v>
      </c>
      <c r="K10" s="56" t="s">
        <v>259</v>
      </c>
      <c r="L10" s="28">
        <v>90</v>
      </c>
      <c r="M10" s="28" t="str">
        <f>IF(H10=0,
"Aptitude section not attempted. ",
IF(H10&gt;=33.75,
"Outstanding performance in Aptitude. ",
IF(H10&gt;=22.5,
"Good performance in Aptitude. ",
"Needs improvement in Aptitude. "))) &amp;
IF(I10=0,
" General MBA Questions section not attempted. ",
IF(I10&gt;=33.75,
" Outstanding performance in General MBA Questions. ",
IF(I10&gt;=22.5,
" Good performance in General MBA Questions. ",
" Needs improvement in General MBA Questions. ")))</f>
        <v xml:space="preserve">Aptitude section not attempted.  General MBA Questions section not attempted. </v>
      </c>
      <c r="N10" s="11">
        <v>3</v>
      </c>
      <c r="O10" s="11">
        <v>3.5</v>
      </c>
      <c r="P10" s="11">
        <v>3</v>
      </c>
      <c r="Q10" s="11">
        <v>3.5</v>
      </c>
      <c r="R10" s="41">
        <f>SUM(N10:Q10)</f>
        <v>13</v>
      </c>
      <c r="S10" s="60">
        <v>13</v>
      </c>
      <c r="T10" s="41">
        <v>20</v>
      </c>
      <c r="U10" s="45" t="str">
        <f>IF(AND(N10=0,O10=0,P10=0,Q10=0),
"Personal Interview not attempted. Please ensure participation next time.",
IF(N10=0,
"Self Expression not attempted. Focus on articulating thoughts clearly.",
IF(N10&gt;=4,
"Outstanding Self Expression. ",
IF(N10&gt;=2,
"Good Self Expression. ",
"Needs improvement in Self Expression. "))) &amp;
IF(O10=0,
"Domain Knowledge not attempted. Focus on relevant topics.",
IF(O10&gt;=4,
"Outstanding performance in Domain Knowledge. ",
IF(O10&gt;=2,
"Good performance in Domain Knowledge. ",
"Needs improvement in Domain Knowledge. "))) &amp;
IF(P10=0,
"Thought Process not attempted. Work on organizing your thoughts.",
IF(P10&gt;=4,
"Outstanding Thought Process. ",
IF(P10&gt;=2,
"Good Thought Process. ",
"Needs improvement in Thought Process. "))) &amp;
IF(Q10=0,
"Problem Solving Skills not attempted. Focus on practice.",
IF(Q10&gt;=4,
"Outstanding Problem Solving Skills. ",
IF(Q10&gt;=2,
"Good Problem Solving Skills. ",
"Needs improvement in Problem Solving Skills. "))))</f>
        <v xml:space="preserve">Good Self Expression. Good performance in Domain Knowledge. Good Thought Process. Good Problem Solving Skills. </v>
      </c>
      <c r="V10" s="43">
        <v>3</v>
      </c>
      <c r="W10" s="11">
        <v>2</v>
      </c>
      <c r="X10" s="3">
        <v>3</v>
      </c>
      <c r="Y10" s="87">
        <v>3</v>
      </c>
      <c r="Z10" s="3">
        <f>SUM(V10:Y10)</f>
        <v>11</v>
      </c>
      <c r="AA10" s="57">
        <v>11</v>
      </c>
      <c r="AB10" s="69">
        <v>20</v>
      </c>
      <c r="AC10" s="7" t="str">
        <f>IF(AND(V10=0,W10=0,X10=0,Y10=0),
"GD Round not attempted. Active participation is crucial.",
IF(V10=0,
"Participation not attempted. Engage more in discussions.",
IF(V10&gt;=4,
"Outstanding Participation. ",
IF(V10&gt;=2,
"Good Participation. ",
"Needs improvement in Participation. "))) &amp;
IF(W10=0,
"Communication not attempted. Focus on expressing ideas clearly.",
IF(W10&gt;=4,
"Outstanding Communication. ",
IF(W10&gt;=2,
"Good Communication. ",
"Needs improvement in Communication. "))) &amp;
IF(X10=0,
"Presence of Mind not attempted. Work on staying alert during discussions.",
IF(X10&gt;=4,
"Outstanding Presence of Mind. ",
IF(X10&gt;=2,
"Good Presence of Mind. ",
"Needs improvement in Presence of Mind. "))) &amp;
IF(Y10=0,
"Presentation not attempted. Enhance your presentation skills.",
IF(Y10&gt;=4,
"Outstanding Presentation. ",
IF(Y10&gt;=2,
"Good Presentation. ",
"Needs improvement in Presentation. "))))</f>
        <v xml:space="preserve">Good Participation. Good Communication. Good Presence of Mind. Good Presentation. </v>
      </c>
      <c r="AD10" s="43">
        <v>3</v>
      </c>
      <c r="AE10" s="11">
        <v>3</v>
      </c>
      <c r="AF10" s="88">
        <v>4</v>
      </c>
      <c r="AG10" s="25">
        <v>4</v>
      </c>
      <c r="AH10" s="19">
        <f>SUM(AD10:AG10)</f>
        <v>14</v>
      </c>
      <c r="AI10" s="73">
        <v>14</v>
      </c>
      <c r="AJ10" s="76">
        <v>20</v>
      </c>
      <c r="AK10" s="45" t="str">
        <f>IF(AND(AD10=0,AE10=0,AF10=0,AG10=0),
"HR Round not attempted. It's essential to participate in all assessments.",
IF(AD10=0,
"Values not attempted. Reflect on your core values.",
IF(AD10&gt;=4,
"Outstanding understanding of Values. ",
IF(AD10&gt;=2,
"Good understanding of Values. ",
"Needs improvement in understanding Values. "))) &amp;
IF(AE10=0,
"Career Goal not attempted. Define your career objectives clearly.",
IF(AE10&gt;=4,
"Outstanding clarity in Career Goals. ",
IF(AE10&gt;=2,
"Good clarity in Career Goals. ",
"Needs improvement in defining Career Goals. "))) &amp;
IF(AF10=0,
"Behavior Skills not attempted. Work on interpersonal skills.",
IF(AF10&gt;=4,
"Outstanding Behavior Skills. ",
IF(AF10&gt;=2,
"Good Behavior Skills. ",
"Needs improvement in Behavior Skills. "))) &amp;
IF(AG10=0,
"Role Fitment not attempted. Assess your fit for the role.",
IF(AG10&gt;=4,
"Outstanding Role Fitment. ",
IF(AG10&gt;=2,
"Good Role Fitment. ",
"Needs improvement in Role Fitment. "))))</f>
        <v xml:space="preserve">Good understanding of Values. Good clarity in Career Goals. Outstanding Behavior Skills. Outstanding Role Fitment. </v>
      </c>
      <c r="AL10" s="65">
        <f>SUM(J10,R10,Z10,AH10)</f>
        <v>38</v>
      </c>
      <c r="AM10" s="57">
        <v>38</v>
      </c>
      <c r="AN10" s="70">
        <v>150</v>
      </c>
      <c r="AO10" s="57">
        <v>72</v>
      </c>
      <c r="AP10" s="52" t="str">
        <f>IF(AND(J10=0,R10=0,Z10=0,AH10=0),
"No participation in any assessment. Please ensure participation in future evaluations.",
IF(J10=0,
"Online Assessment not attempted. Focus on improving basic skills.",
IF(J10&gt;=67.5,
"Outstanding performance in Online Assessment. ",
IF(J10&gt;=45,
"Good performance in Online Assessment. ",
"Needs improvement in Online Assessment. "))) &amp;
IF(R10=0,
"Personal Interview not attempted. Active engagement is essential.",
IF(R10&gt;=16,
"Outstanding performance in Personal Interview. ",
IF(R10&gt;=10,
"Good performance in Personal Interview. ",
"Needs improvement in Personal Interview. "))) &amp;
IF(Z10=0,
"GD Round not attempted. Active participation is crucial.",
IF(Z10&gt;=16,
"Outstanding performance in GD Round. ",
IF(Z10&gt;=10,
"Good performance in GD Round. ",
"Needs improvement in GD Round. "))) &amp;
IF(AH10=0,
"HR Round not attempted. Engage in the assessment process.",
IF(AH10&gt;=16,
"Outstanding performance in HR Round. ",
IF(AH10&gt;=10,
"Good performance in HR Round. ",
"Needs improvement in HR Round."))))</f>
        <v xml:space="preserve">Online Assessment not attempted. Focus on improving basic skills.Good performance in Personal Interview. Good performance in GD Round. Good performance in HR Round. </v>
      </c>
      <c r="AQ10" s="17"/>
    </row>
    <row r="11" spans="1:43" ht="13">
      <c r="A11">
        <v>8</v>
      </c>
      <c r="B11" s="39" t="s">
        <v>33</v>
      </c>
      <c r="C11" s="40" t="s">
        <v>34</v>
      </c>
      <c r="D11" s="40">
        <v>7560078107</v>
      </c>
      <c r="E11" s="7" t="s">
        <v>253</v>
      </c>
      <c r="F11" s="6"/>
      <c r="G11" s="6"/>
      <c r="H11" s="7">
        <v>12.4</v>
      </c>
      <c r="I11" s="7">
        <v>30</v>
      </c>
      <c r="J11" s="28">
        <f>SUM(H11:I11)</f>
        <v>42.4</v>
      </c>
      <c r="K11" s="56">
        <v>42.4</v>
      </c>
      <c r="L11" s="28">
        <v>90</v>
      </c>
      <c r="M11" s="28" t="str">
        <f>IF(H11=0,
"Aptitude section not attempted. ",
IF(H11&gt;=33.75,
"Outstanding performance in Aptitude. ",
IF(H11&gt;=22.5,
"Good performance in Aptitude. ",
"Needs improvement in Aptitude. "))) &amp;
IF(I11=0,
" General MBA Questions section not attempted. ",
IF(I11&gt;=33.75,
" Outstanding performance in General MBA Questions. ",
IF(I11&gt;=22.5,
" Good performance in General MBA Questions. ",
" Needs improvement in General MBA Questions. ")))</f>
        <v xml:space="preserve">Needs improvement in Aptitude.  Good performance in General MBA Questions. </v>
      </c>
      <c r="N11" s="11">
        <v>4</v>
      </c>
      <c r="O11" s="11">
        <v>4</v>
      </c>
      <c r="P11" s="11">
        <v>3</v>
      </c>
      <c r="Q11" s="11">
        <v>3</v>
      </c>
      <c r="R11" s="41">
        <f>SUM(N11:Q11)</f>
        <v>14</v>
      </c>
      <c r="S11" s="60">
        <v>14</v>
      </c>
      <c r="T11" s="41">
        <v>20</v>
      </c>
      <c r="U11" s="45" t="str">
        <f>IF(AND(N11=0,O11=0,P11=0,Q11=0),
"Personal Interview not attempted. Please ensure participation next time.",
IF(N11=0,
"Self Expression not attempted. Focus on articulating thoughts clearly.",
IF(N11&gt;=4,
"Outstanding Self Expression. ",
IF(N11&gt;=2,
"Good Self Expression. ",
"Needs improvement in Self Expression. "))) &amp;
IF(O11=0,
"Domain Knowledge not attempted. Focus on relevant topics.",
IF(O11&gt;=4,
"Outstanding performance in Domain Knowledge. ",
IF(O11&gt;=2,
"Good performance in Domain Knowledge. ",
"Needs improvement in Domain Knowledge. "))) &amp;
IF(P11=0,
"Thought Process not attempted. Work on organizing your thoughts.",
IF(P11&gt;=4,
"Outstanding Thought Process. ",
IF(P11&gt;=2,
"Good Thought Process. ",
"Needs improvement in Thought Process. "))) &amp;
IF(Q11=0,
"Problem Solving Skills not attempted. Focus on practice.",
IF(Q11&gt;=4,
"Outstanding Problem Solving Skills. ",
IF(Q11&gt;=2,
"Good Problem Solving Skills. ",
"Needs improvement in Problem Solving Skills. "))))</f>
        <v xml:space="preserve">Outstanding Self Expression. Outstanding performance in Domain Knowledge. Good Thought Process. Good Problem Solving Skills. </v>
      </c>
      <c r="V11" s="43">
        <v>4</v>
      </c>
      <c r="W11" s="11">
        <v>3</v>
      </c>
      <c r="X11" s="3">
        <v>3</v>
      </c>
      <c r="Y11" s="25">
        <v>3</v>
      </c>
      <c r="Z11" s="3">
        <f>SUM(V11:Y11)</f>
        <v>13</v>
      </c>
      <c r="AA11" s="57">
        <v>13</v>
      </c>
      <c r="AB11" s="69">
        <v>20</v>
      </c>
      <c r="AC11" s="7" t="str">
        <f>IF(AND(V11=0,W11=0,X11=0,Y11=0),
"GD Round not attempted. Active participation is crucial.",
IF(V11=0,
"Participation not attempted. Engage more in discussions.",
IF(V11&gt;=4,
"Outstanding Participation. ",
IF(V11&gt;=2,
"Good Participation. ",
"Needs improvement in Participation. "))) &amp;
IF(W11=0,
"Communication not attempted. Focus on expressing ideas clearly.",
IF(W11&gt;=4,
"Outstanding Communication. ",
IF(W11&gt;=2,
"Good Communication. ",
"Needs improvement in Communication. "))) &amp;
IF(X11=0,
"Presence of Mind not attempted. Work on staying alert during discussions.",
IF(X11&gt;=4,
"Outstanding Presence of Mind. ",
IF(X11&gt;=2,
"Good Presence of Mind. ",
"Needs improvement in Presence of Mind. "))) &amp;
IF(Y11=0,
"Presentation not attempted. Enhance your presentation skills.",
IF(Y11&gt;=4,
"Outstanding Presentation. ",
IF(Y11&gt;=2,
"Good Presentation. ",
"Needs improvement in Presentation. "))))</f>
        <v xml:space="preserve">Outstanding Participation. Good Communication. Good Presence of Mind. Good Presentation. </v>
      </c>
      <c r="AD11" s="43">
        <v>4</v>
      </c>
      <c r="AE11" s="11">
        <v>4</v>
      </c>
      <c r="AF11" s="90">
        <v>4</v>
      </c>
      <c r="AG11" s="26">
        <v>4</v>
      </c>
      <c r="AH11" s="19">
        <f>SUM(AD11:AG11)</f>
        <v>16</v>
      </c>
      <c r="AI11" s="73">
        <v>16</v>
      </c>
      <c r="AJ11" s="76">
        <v>20</v>
      </c>
      <c r="AK11" s="45" t="str">
        <f>IF(AND(AD11=0,AE11=0,AF11=0,AG11=0),
"HR Round not attempted. It's essential to participate in all assessments.",
IF(AD11=0,
"Values not attempted. Reflect on your core values.",
IF(AD11&gt;=4,
"Outstanding understanding of Values. ",
IF(AD11&gt;=2,
"Good understanding of Values. ",
"Needs improvement in understanding Values. "))) &amp;
IF(AE11=0,
"Career Goal not attempted. Define your career objectives clearly.",
IF(AE11&gt;=4,
"Outstanding clarity in Career Goals. ",
IF(AE11&gt;=2,
"Good clarity in Career Goals. ",
"Needs improvement in defining Career Goals. "))) &amp;
IF(AF11=0,
"Behavior Skills not attempted. Work on interpersonal skills.",
IF(AF11&gt;=4,
"Outstanding Behavior Skills. ",
IF(AF11&gt;=2,
"Good Behavior Skills. ",
"Needs improvement in Behavior Skills. "))) &amp;
IF(AG11=0,
"Role Fitment not attempted. Assess your fit for the role.",
IF(AG11&gt;=4,
"Outstanding Role Fitment. ",
IF(AG11&gt;=2,
"Good Role Fitment. ",
"Needs improvement in Role Fitment. "))))</f>
        <v xml:space="preserve">Outstanding understanding of Values. Outstanding clarity in Career Goals. Outstanding Behavior Skills. Outstanding Role Fitment. </v>
      </c>
      <c r="AL11" s="65">
        <f>SUM(J11,R11,Z11,AH11)</f>
        <v>85.4</v>
      </c>
      <c r="AM11" s="57">
        <v>85.4</v>
      </c>
      <c r="AN11" s="70">
        <v>150</v>
      </c>
      <c r="AO11" s="57">
        <v>5</v>
      </c>
      <c r="AP11" s="52" t="str">
        <f>IF(AND(J11=0,R11=0,Z11=0,AH11=0),
"No participation in any assessment. Please ensure participation in future evaluations.",
IF(J11=0,
"Online Assessment not attempted. Focus on improving basic skills.",
IF(J11&gt;=67.5,
"Outstanding performance in Online Assessment. ",
IF(J11&gt;=45,
"Good performance in Online Assessment. ",
"Needs improvement in Online Assessment. "))) &amp;
IF(R11=0,
"Personal Interview not attempted. Active engagement is essential.",
IF(R11&gt;=16,
"Outstanding performance in Personal Interview. ",
IF(R11&gt;=10,
"Good performance in Personal Interview. ",
"Needs improvement in Personal Interview. "))) &amp;
IF(Z11=0,
"GD Round not attempted. Active participation is crucial.",
IF(Z11&gt;=16,
"Outstanding performance in GD Round. ",
IF(Z11&gt;=10,
"Good performance in GD Round. ",
"Needs improvement in GD Round. "))) &amp;
IF(AH11=0,
"HR Round not attempted. Engage in the assessment process.",
IF(AH11&gt;=16,
"Outstanding performance in HR Round. ",
IF(AH11&gt;=10,
"Good performance in HR Round. ",
"Needs improvement in HR Round."))))</f>
        <v xml:space="preserve">Needs improvement in Online Assessment. Good performance in Personal Interview. Good performance in GD Round. Outstanding performance in HR Round. </v>
      </c>
    </row>
    <row r="12" spans="1:43" ht="13">
      <c r="A12">
        <v>9</v>
      </c>
      <c r="B12" s="39" t="s">
        <v>59</v>
      </c>
      <c r="C12" s="40" t="s">
        <v>60</v>
      </c>
      <c r="D12" s="40">
        <v>9871950633</v>
      </c>
      <c r="E12" s="7" t="s">
        <v>253</v>
      </c>
      <c r="F12" s="4"/>
      <c r="G12" s="4"/>
      <c r="H12" s="7">
        <v>10.85</v>
      </c>
      <c r="I12" s="7">
        <v>28</v>
      </c>
      <c r="J12" s="28">
        <f>SUM(H12:I12)</f>
        <v>38.85</v>
      </c>
      <c r="K12" s="56">
        <v>38.85</v>
      </c>
      <c r="L12" s="28">
        <v>90</v>
      </c>
      <c r="M12" s="28" t="str">
        <f>IF(H12=0,
"Aptitude section not attempted. ",
IF(H12&gt;=33.75,
"Outstanding performance in Aptitude. ",
IF(H12&gt;=22.5,
"Good performance in Aptitude. ",
"Needs improvement in Aptitude. "))) &amp;
IF(I12=0,
" General MBA Questions section not attempted. ",
IF(I12&gt;=33.75,
" Outstanding performance in General MBA Questions. ",
IF(I12&gt;=22.5,
" Good performance in General MBA Questions. ",
" Needs improvement in General MBA Questions. ")))</f>
        <v xml:space="preserve">Needs improvement in Aptitude.  Good performance in General MBA Questions. </v>
      </c>
      <c r="N12" s="11">
        <v>0</v>
      </c>
      <c r="O12" s="11">
        <v>0</v>
      </c>
      <c r="P12" s="11">
        <v>0</v>
      </c>
      <c r="Q12" s="11">
        <v>0</v>
      </c>
      <c r="R12" s="41">
        <f>SUM(N12:Q12)</f>
        <v>0</v>
      </c>
      <c r="S12" s="60" t="s">
        <v>259</v>
      </c>
      <c r="T12" s="41">
        <v>20</v>
      </c>
      <c r="U12" s="45" t="str">
        <f>IF(AND(N12=0,O12=0,P12=0,Q12=0),
"Personal Interview not attempted. Please ensure participation next time.",
IF(N12=0,
"Self Expression not attempted. Focus on articulating thoughts clearly.",
IF(N12&gt;=4,
"Outstanding Self Expression. ",
IF(N12&gt;=2,
"Good Self Expression. ",
"Needs improvement in Self Expression. "))) &amp;
IF(O12=0,
"Domain Knowledge not attempted. Focus on relevant topics.",
IF(O12&gt;=4,
"Outstanding performance in Domain Knowledge. ",
IF(O12&gt;=2,
"Good performance in Domain Knowledge. ",
"Needs improvement in Domain Knowledge. "))) &amp;
IF(P12=0,
"Thought Process not attempted. Work on organizing your thoughts.",
IF(P12&gt;=4,
"Outstanding Thought Process. ",
IF(P12&gt;=2,
"Good Thought Process. ",
"Needs improvement in Thought Process. "))) &amp;
IF(Q12=0,
"Problem Solving Skills not attempted. Focus on practice.",
IF(Q12&gt;=4,
"Outstanding Problem Solving Skills. ",
IF(Q12&gt;=2,
"Good Problem Solving Skills. ",
"Needs improvement in Problem Solving Skills. "))))</f>
        <v>Personal Interview not attempted. Please ensure participation next time.</v>
      </c>
      <c r="V12" s="43">
        <v>3</v>
      </c>
      <c r="W12" s="11">
        <v>3</v>
      </c>
      <c r="X12" s="3">
        <v>3</v>
      </c>
      <c r="Y12" s="87">
        <v>2</v>
      </c>
      <c r="Z12" s="3">
        <f>SUM(V12:Y12)</f>
        <v>11</v>
      </c>
      <c r="AA12" s="57">
        <v>11</v>
      </c>
      <c r="AB12" s="69">
        <v>20</v>
      </c>
      <c r="AC12" s="7" t="str">
        <f>IF(AND(V12=0,W12=0,X12=0,Y12=0),
"GD Round not attempted. Active participation is crucial.",
IF(V12=0,
"Participation not attempted. Engage more in discussions.",
IF(V12&gt;=4,
"Outstanding Participation. ",
IF(V12&gt;=2,
"Good Participation. ",
"Needs improvement in Participation. "))) &amp;
IF(W12=0,
"Communication not attempted. Focus on expressing ideas clearly.",
IF(W12&gt;=4,
"Outstanding Communication. ",
IF(W12&gt;=2,
"Good Communication. ",
"Needs improvement in Communication. "))) &amp;
IF(X12=0,
"Presence of Mind not attempted. Work on staying alert during discussions.",
IF(X12&gt;=4,
"Outstanding Presence of Mind. ",
IF(X12&gt;=2,
"Good Presence of Mind. ",
"Needs improvement in Presence of Mind. "))) &amp;
IF(Y12=0,
"Presentation not attempted. Enhance your presentation skills.",
IF(Y12&gt;=4,
"Outstanding Presentation. ",
IF(Y12&gt;=2,
"Good Presentation. ",
"Needs improvement in Presentation. "))))</f>
        <v xml:space="preserve">Good Participation. Good Communication. Good Presence of Mind. Good Presentation. </v>
      </c>
      <c r="AD12" s="43">
        <v>2</v>
      </c>
      <c r="AE12" s="11">
        <v>2</v>
      </c>
      <c r="AF12" s="18">
        <v>2</v>
      </c>
      <c r="AG12" s="25">
        <v>2</v>
      </c>
      <c r="AH12" s="19">
        <f>SUM(AD12:AG12)</f>
        <v>8</v>
      </c>
      <c r="AI12" s="73">
        <v>8</v>
      </c>
      <c r="AJ12" s="76">
        <v>20</v>
      </c>
      <c r="AK12" s="45" t="str">
        <f>IF(AND(AD12=0,AE12=0,AF12=0,AG12=0),
"HR Round not attempted. It's essential to participate in all assessments.",
IF(AD12=0,
"Values not attempted. Reflect on your core values.",
IF(AD12&gt;=4,
"Outstanding understanding of Values. ",
IF(AD12&gt;=2,
"Good understanding of Values. ",
"Needs improvement in understanding Values. "))) &amp;
IF(AE12=0,
"Career Goal not attempted. Define your career objectives clearly.",
IF(AE12&gt;=4,
"Outstanding clarity in Career Goals. ",
IF(AE12&gt;=2,
"Good clarity in Career Goals. ",
"Needs improvement in defining Career Goals. "))) &amp;
IF(AF12=0,
"Behavior Skills not attempted. Work on interpersonal skills.",
IF(AF12&gt;=4,
"Outstanding Behavior Skills. ",
IF(AF12&gt;=2,
"Good Behavior Skills. ",
"Needs improvement in Behavior Skills. "))) &amp;
IF(AG12=0,
"Role Fitment not attempted. Assess your fit for the role.",
IF(AG12&gt;=4,
"Outstanding Role Fitment. ",
IF(AG12&gt;=2,
"Good Role Fitment. ",
"Needs improvement in Role Fitment. "))))</f>
        <v xml:space="preserve">Good understanding of Values. Good clarity in Career Goals. Good Behavior Skills. Good Role Fitment. </v>
      </c>
      <c r="AL12" s="65">
        <f>SUM(J12,R12,Z12,AH12)</f>
        <v>57.85</v>
      </c>
      <c r="AM12" s="57">
        <v>57.85</v>
      </c>
      <c r="AN12" s="70">
        <v>150</v>
      </c>
      <c r="AO12" s="57">
        <v>40</v>
      </c>
      <c r="AP12" s="52" t="str">
        <f>IF(AND(J12=0,R12=0,Z12=0,AH12=0),
"No participation in any assessment. Please ensure participation in future evaluations.",
IF(J12=0,
"Online Assessment not attempted. Focus on improving basic skills.",
IF(J12&gt;=67.5,
"Outstanding performance in Online Assessment. ",
IF(J12&gt;=45,
"Good performance in Online Assessment. ",
"Needs improvement in Online Assessment. "))) &amp;
IF(R12=0,
"Personal Interview not attempted. Active engagement is essential.",
IF(R12&gt;=16,
"Outstanding performance in Personal Interview. ",
IF(R12&gt;=10,
"Good performance in Personal Interview. ",
"Needs improvement in Personal Interview. "))) &amp;
IF(Z12=0,
"GD Round not attempted. Active participation is crucial.",
IF(Z12&gt;=16,
"Outstanding performance in GD Round. ",
IF(Z12&gt;=10,
"Good performance in GD Round. ",
"Needs improvement in GD Round. "))) &amp;
IF(AH12=0,
"HR Round not attempted. Engage in the assessment process.",
IF(AH12&gt;=16,
"Outstanding performance in HR Round. ",
IF(AH12&gt;=10,
"Good performance in HR Round. ",
"Needs improvement in HR Round."))))</f>
        <v>Needs improvement in Online Assessment. Personal Interview not attempted. Active engagement is essential.Good performance in GD Round. Needs improvement in HR Round.</v>
      </c>
    </row>
    <row r="13" spans="1:43" ht="13">
      <c r="A13">
        <v>10</v>
      </c>
      <c r="B13" s="39" t="s">
        <v>225</v>
      </c>
      <c r="C13" s="40" t="s">
        <v>226</v>
      </c>
      <c r="D13" s="40">
        <v>7018296623</v>
      </c>
      <c r="E13" s="7" t="s">
        <v>253</v>
      </c>
      <c r="F13" s="7"/>
      <c r="G13" s="7"/>
      <c r="H13" s="7">
        <v>0</v>
      </c>
      <c r="I13" s="7">
        <v>0</v>
      </c>
      <c r="J13" s="28">
        <f>SUM(H13:I13)</f>
        <v>0</v>
      </c>
      <c r="K13" s="56" t="s">
        <v>259</v>
      </c>
      <c r="L13" s="28">
        <v>90</v>
      </c>
      <c r="M13" s="28" t="str">
        <f>IF(H13=0,
"Aptitude section not attempted. ",
IF(H13&gt;=33.75,
"Outstanding performance in Aptitude. ",
IF(H13&gt;=22.5,
"Good performance in Aptitude. ",
"Needs improvement in Aptitude. "))) &amp;
IF(I13=0,
" General MBA Questions section not attempted. ",
IF(I13&gt;=33.75,
" Outstanding performance in General MBA Questions. ",
IF(I13&gt;=22.5,
" Good performance in General MBA Questions. ",
" Needs improvement in General MBA Questions. ")))</f>
        <v xml:space="preserve">Aptitude section not attempted.  General MBA Questions section not attempted. </v>
      </c>
      <c r="N13" s="11">
        <v>0</v>
      </c>
      <c r="O13" s="11">
        <v>0</v>
      </c>
      <c r="P13" s="11">
        <v>0</v>
      </c>
      <c r="Q13" s="11">
        <v>0</v>
      </c>
      <c r="R13" s="41">
        <f>SUM(N13:Q13)</f>
        <v>0</v>
      </c>
      <c r="S13" s="60" t="s">
        <v>259</v>
      </c>
      <c r="T13" s="41">
        <v>20</v>
      </c>
      <c r="U13" s="45" t="str">
        <f>IF(AND(N13=0,O13=0,P13=0,Q13=0),
"Personal Interview not attempted. Please ensure participation next time.",
IF(N13=0,
"Self Expression not attempted. Focus on articulating thoughts clearly.",
IF(N13&gt;=4,
"Outstanding Self Expression. ",
IF(N13&gt;=2,
"Good Self Expression. ",
"Needs improvement in Self Expression. "))) &amp;
IF(O13=0,
"Domain Knowledge not attempted. Focus on relevant topics.",
IF(O13&gt;=4,
"Outstanding performance in Domain Knowledge. ",
IF(O13&gt;=2,
"Good performance in Domain Knowledge. ",
"Needs improvement in Domain Knowledge. "))) &amp;
IF(P13=0,
"Thought Process not attempted. Work on organizing your thoughts.",
IF(P13&gt;=4,
"Outstanding Thought Process. ",
IF(P13&gt;=2,
"Good Thought Process. ",
"Needs improvement in Thought Process. "))) &amp;
IF(Q13=0,
"Problem Solving Skills not attempted. Focus on practice.",
IF(Q13&gt;=4,
"Outstanding Problem Solving Skills. ",
IF(Q13&gt;=2,
"Good Problem Solving Skills. ",
"Needs improvement in Problem Solving Skills. "))))</f>
        <v>Personal Interview not attempted. Please ensure participation next time.</v>
      </c>
      <c r="V13" s="43">
        <v>0</v>
      </c>
      <c r="W13" s="11">
        <v>0</v>
      </c>
      <c r="X13" s="3">
        <v>0</v>
      </c>
      <c r="Y13" s="87">
        <v>0</v>
      </c>
      <c r="Z13" s="3">
        <f>SUM(V13:Y13)</f>
        <v>0</v>
      </c>
      <c r="AA13" s="64" t="s">
        <v>259</v>
      </c>
      <c r="AB13" s="69">
        <v>20</v>
      </c>
      <c r="AC13" s="7" t="str">
        <f>IF(AND(V13=0,W13=0,X13=0,Y13=0),
"GD Round not attempted. Active participation is crucial.",
IF(V13=0,
"Participation not attempted. Engage more in discussions.",
IF(V13&gt;=4,
"Outstanding Participation. ",
IF(V13&gt;=2,
"Good Participation. ",
"Needs improvement in Participation. "))) &amp;
IF(W13=0,
"Communication not attempted. Focus on expressing ideas clearly.",
IF(W13&gt;=4,
"Outstanding Communication. ",
IF(W13&gt;=2,
"Good Communication. ",
"Needs improvement in Communication. "))) &amp;
IF(X13=0,
"Presence of Mind not attempted. Work on staying alert during discussions.",
IF(X13&gt;=4,
"Outstanding Presence of Mind. ",
IF(X13&gt;=2,
"Good Presence of Mind. ",
"Needs improvement in Presence of Mind. "))) &amp;
IF(Y13=0,
"Presentation not attempted. Enhance your presentation skills.",
IF(Y13&gt;=4,
"Outstanding Presentation. ",
IF(Y13&gt;=2,
"Good Presentation. ",
"Needs improvement in Presentation. "))))</f>
        <v>GD Round not attempted. Active participation is crucial.</v>
      </c>
      <c r="AD13" s="43">
        <v>0</v>
      </c>
      <c r="AE13" s="11">
        <v>0</v>
      </c>
      <c r="AF13" s="82">
        <v>0</v>
      </c>
      <c r="AG13" s="5">
        <v>0</v>
      </c>
      <c r="AH13" s="19">
        <f>SUM(AD13:AG13)</f>
        <v>0</v>
      </c>
      <c r="AI13" s="73" t="s">
        <v>259</v>
      </c>
      <c r="AJ13" s="76">
        <v>20</v>
      </c>
      <c r="AK13" s="45" t="str">
        <f>IF(AND(AD13=0,AE13=0,AF13=0,AG13=0),
"HR Round not attempted. It's essential to participate in all assessments.",
IF(AD13=0,
"Values not attempted. Reflect on your core values.",
IF(AD13&gt;=4,
"Outstanding understanding of Values. ",
IF(AD13&gt;=2,
"Good understanding of Values. ",
"Needs improvement in understanding Values. "))) &amp;
IF(AE13=0,
"Career Goal not attempted. Define your career objectives clearly.",
IF(AE13&gt;=4,
"Outstanding clarity in Career Goals. ",
IF(AE13&gt;=2,
"Good clarity in Career Goals. ",
"Needs improvement in defining Career Goals. "))) &amp;
IF(AF13=0,
"Behavior Skills not attempted. Work on interpersonal skills.",
IF(AF13&gt;=4,
"Outstanding Behavior Skills. ",
IF(AF13&gt;=2,
"Good Behavior Skills. ",
"Needs improvement in Behavior Skills. "))) &amp;
IF(AG13=0,
"Role Fitment not attempted. Assess your fit for the role.",
IF(AG13&gt;=4,
"Outstanding Role Fitment. ",
IF(AG13&gt;=2,
"Good Role Fitment. ",
"Needs improvement in Role Fitment. "))))</f>
        <v>HR Round not attempted. It's essential to participate in all assessments.</v>
      </c>
      <c r="AL13" s="65">
        <f>SUM(J13,R13,Z13,AH13)</f>
        <v>0</v>
      </c>
      <c r="AM13" s="57">
        <v>0</v>
      </c>
      <c r="AN13" s="70">
        <v>150</v>
      </c>
      <c r="AO13" s="64" t="s">
        <v>259</v>
      </c>
      <c r="AP13" s="52" t="str">
        <f>IF(AND(J13=0,R13=0,Z13=0,AH13=0),
"No participation in any assessment. Please ensure participation in future evaluations.",
IF(J13=0,
"Online Assessment not attempted. Focus on improving basic skills.",
IF(J13&gt;=67.5,
"Outstanding performance in Online Assessment. ",
IF(J13&gt;=45,
"Good performance in Online Assessment. ",
"Needs improvement in Online Assessment. "))) &amp;
IF(R13=0,
"Personal Interview not attempted. Active engagement is essential.",
IF(R13&gt;=16,
"Outstanding performance in Personal Interview. ",
IF(R13&gt;=10,
"Good performance in Personal Interview. ",
"Needs improvement in Personal Interview. "))) &amp;
IF(Z13=0,
"GD Round not attempted. Active participation is crucial.",
IF(Z13&gt;=16,
"Outstanding performance in GD Round. ",
IF(Z13&gt;=10,
"Good performance in GD Round. ",
"Needs improvement in GD Round. "))) &amp;
IF(AH13=0,
"HR Round not attempted. Engage in the assessment process.",
IF(AH13&gt;=16,
"Outstanding performance in HR Round. ",
IF(AH13&gt;=10,
"Good performance in HR Round. ",
"Needs improvement in HR Round."))))</f>
        <v>No participation in any assessment. Please ensure participation in future evaluations.</v>
      </c>
    </row>
    <row r="14" spans="1:43" ht="13">
      <c r="A14">
        <v>11</v>
      </c>
      <c r="B14" s="39" t="s">
        <v>215</v>
      </c>
      <c r="C14" s="7" t="s">
        <v>249</v>
      </c>
      <c r="D14" s="40">
        <v>9817603559</v>
      </c>
      <c r="E14" s="7" t="s">
        <v>253</v>
      </c>
      <c r="F14" s="7"/>
      <c r="G14" s="7"/>
      <c r="H14" s="7">
        <v>17.899999999999999</v>
      </c>
      <c r="I14" s="7">
        <v>37</v>
      </c>
      <c r="J14" s="28">
        <f>SUM(H14:I14)</f>
        <v>54.9</v>
      </c>
      <c r="K14" s="56">
        <v>54.9</v>
      </c>
      <c r="L14" s="28">
        <v>90</v>
      </c>
      <c r="M14" s="28" t="str">
        <f>IF(H14=0,
"Aptitude section not attempted. ",
IF(H14&gt;=33.75,
"Outstanding performance in Aptitude. ",
IF(H14&gt;=22.5,
"Good performance in Aptitude. ",
"Needs improvement in Aptitude. "))) &amp;
IF(I14=0,
" General MBA Questions section not attempted. ",
IF(I14&gt;=33.75,
" Outstanding performance in General MBA Questions. ",
IF(I14&gt;=22.5,
" Good performance in General MBA Questions. ",
" Needs improvement in General MBA Questions. ")))</f>
        <v xml:space="preserve">Needs improvement in Aptitude.  Outstanding performance in General MBA Questions. </v>
      </c>
      <c r="N14" s="11">
        <v>5</v>
      </c>
      <c r="O14" s="11">
        <v>2</v>
      </c>
      <c r="P14" s="11">
        <v>4</v>
      </c>
      <c r="Q14" s="11">
        <v>3</v>
      </c>
      <c r="R14" s="41">
        <f>SUM(N14:Q14)</f>
        <v>14</v>
      </c>
      <c r="S14" s="60">
        <v>14</v>
      </c>
      <c r="T14" s="41">
        <v>20</v>
      </c>
      <c r="U14" s="45" t="str">
        <f>IF(AND(N14=0,O14=0,P14=0,Q14=0),
"Personal Interview not attempted. Please ensure participation next time.",
IF(N14=0,
"Self Expression not attempted. Focus on articulating thoughts clearly.",
IF(N14&gt;=4,
"Outstanding Self Expression. ",
IF(N14&gt;=2,
"Good Self Expression. ",
"Needs improvement in Self Expression. "))) &amp;
IF(O14=0,
"Domain Knowledge not attempted. Focus on relevant topics.",
IF(O14&gt;=4,
"Outstanding performance in Domain Knowledge. ",
IF(O14&gt;=2,
"Good performance in Domain Knowledge. ",
"Needs improvement in Domain Knowledge. "))) &amp;
IF(P14=0,
"Thought Process not attempted. Work on organizing your thoughts.",
IF(P14&gt;=4,
"Outstanding Thought Process. ",
IF(P14&gt;=2,
"Good Thought Process. ",
"Needs improvement in Thought Process. "))) &amp;
IF(Q14=0,
"Problem Solving Skills not attempted. Focus on practice.",
IF(Q14&gt;=4,
"Outstanding Problem Solving Skills. ",
IF(Q14&gt;=2,
"Good Problem Solving Skills. ",
"Needs improvement in Problem Solving Skills. "))))</f>
        <v xml:space="preserve">Outstanding Self Expression. Good performance in Domain Knowledge. Outstanding Thought Process. Good Problem Solving Skills. </v>
      </c>
      <c r="V14" s="43">
        <v>2</v>
      </c>
      <c r="W14" s="11">
        <v>3</v>
      </c>
      <c r="X14" s="3">
        <v>2</v>
      </c>
      <c r="Y14">
        <v>3</v>
      </c>
      <c r="Z14" s="3">
        <f>SUM(V14:Y14)</f>
        <v>10</v>
      </c>
      <c r="AA14" s="57">
        <v>10</v>
      </c>
      <c r="AB14" s="69">
        <v>20</v>
      </c>
      <c r="AC14" s="7" t="str">
        <f>IF(AND(V14=0,W14=0,X14=0,Y14=0),
"GD Round not attempted. Active participation is crucial.",
IF(V14=0,
"Participation not attempted. Engage more in discussions.",
IF(V14&gt;=4,
"Outstanding Participation. ",
IF(V14&gt;=2,
"Good Participation. ",
"Needs improvement in Participation. "))) &amp;
IF(W14=0,
"Communication not attempted. Focus on expressing ideas clearly.",
IF(W14&gt;=4,
"Outstanding Communication. ",
IF(W14&gt;=2,
"Good Communication. ",
"Needs improvement in Communication. "))) &amp;
IF(X14=0,
"Presence of Mind not attempted. Work on staying alert during discussions.",
IF(X14&gt;=4,
"Outstanding Presence of Mind. ",
IF(X14&gt;=2,
"Good Presence of Mind. ",
"Needs improvement in Presence of Mind. "))) &amp;
IF(Y14=0,
"Presentation not attempted. Enhance your presentation skills.",
IF(Y14&gt;=4,
"Outstanding Presentation. ",
IF(Y14&gt;=2,
"Good Presentation. ",
"Needs improvement in Presentation. "))))</f>
        <v xml:space="preserve">Good Participation. Good Communication. Good Presence of Mind. Good Presentation. </v>
      </c>
      <c r="AD14" s="43">
        <v>3</v>
      </c>
      <c r="AE14" s="11">
        <v>2</v>
      </c>
      <c r="AF14" s="90">
        <v>4</v>
      </c>
      <c r="AG14" s="26">
        <v>4</v>
      </c>
      <c r="AH14" s="19">
        <f>SUM(AD14:AG14)</f>
        <v>13</v>
      </c>
      <c r="AI14" s="73">
        <v>13</v>
      </c>
      <c r="AJ14" s="76">
        <v>20</v>
      </c>
      <c r="AK14" s="45" t="str">
        <f>IF(AND(AD14=0,AE14=0,AF14=0,AG14=0),
"HR Round not attempted. It's essential to participate in all assessments.",
IF(AD14=0,
"Values not attempted. Reflect on your core values.",
IF(AD14&gt;=4,
"Outstanding understanding of Values. ",
IF(AD14&gt;=2,
"Good understanding of Values. ",
"Needs improvement in understanding Values. "))) &amp;
IF(AE14=0,
"Career Goal not attempted. Define your career objectives clearly.",
IF(AE14&gt;=4,
"Outstanding clarity in Career Goals. ",
IF(AE14&gt;=2,
"Good clarity in Career Goals. ",
"Needs improvement in defining Career Goals. "))) &amp;
IF(AF14=0,
"Behavior Skills not attempted. Work on interpersonal skills.",
IF(AF14&gt;=4,
"Outstanding Behavior Skills. ",
IF(AF14&gt;=2,
"Good Behavior Skills. ",
"Needs improvement in Behavior Skills. "))) &amp;
IF(AG14=0,
"Role Fitment not attempted. Assess your fit for the role.",
IF(AG14&gt;=4,
"Outstanding Role Fitment. ",
IF(AG14&gt;=2,
"Good Role Fitment. ",
"Needs improvement in Role Fitment. "))))</f>
        <v xml:space="preserve">Good understanding of Values. Good clarity in Career Goals. Outstanding Behavior Skills. Outstanding Role Fitment. </v>
      </c>
      <c r="AL14" s="65">
        <f>SUM(J14,R14,Z14,AH14)</f>
        <v>91.9</v>
      </c>
      <c r="AM14" s="57">
        <v>91.9</v>
      </c>
      <c r="AN14" s="70">
        <v>150</v>
      </c>
      <c r="AO14" s="57">
        <v>2</v>
      </c>
      <c r="AP14" s="52" t="str">
        <f>IF(AND(J14=0,R14=0,Z14=0,AH14=0),
"No participation in any assessment. Please ensure participation in future evaluations.",
IF(J14=0,
"Online Assessment not attempted. Focus on improving basic skills.",
IF(J14&gt;=67.5,
"Outstanding performance in Online Assessment. ",
IF(J14&gt;=45,
"Good performance in Online Assessment. ",
"Needs improvement in Online Assessment. "))) &amp;
IF(R14=0,
"Personal Interview not attempted. Active engagement is essential.",
IF(R14&gt;=16,
"Outstanding performance in Personal Interview. ",
IF(R14&gt;=10,
"Good performance in Personal Interview. ",
"Needs improvement in Personal Interview. "))) &amp;
IF(Z14=0,
"GD Round not attempted. Active participation is crucial.",
IF(Z14&gt;=16,
"Outstanding performance in GD Round. ",
IF(Z14&gt;=10,
"Good performance in GD Round. ",
"Needs improvement in GD Round. "))) &amp;
IF(AH14=0,
"HR Round not attempted. Engage in the assessment process.",
IF(AH14&gt;=16,
"Outstanding performance in HR Round. ",
IF(AH14&gt;=10,
"Good performance in HR Round. ",
"Needs improvement in HR Round."))))</f>
        <v xml:space="preserve">Good performance in Online Assessment. Good performance in Personal Interview. Good performance in GD Round. Good performance in HR Round. </v>
      </c>
    </row>
    <row r="15" spans="1:43" ht="13">
      <c r="A15">
        <v>12</v>
      </c>
      <c r="B15" s="39" t="s">
        <v>140</v>
      </c>
      <c r="C15" s="40" t="s">
        <v>141</v>
      </c>
      <c r="D15" s="40">
        <v>8544789707</v>
      </c>
      <c r="E15" s="7" t="s">
        <v>253</v>
      </c>
      <c r="F15" s="4"/>
      <c r="G15" s="4"/>
      <c r="H15" s="7">
        <v>0</v>
      </c>
      <c r="I15" s="7">
        <v>0</v>
      </c>
      <c r="J15" s="28">
        <f>SUM(H15:I15)</f>
        <v>0</v>
      </c>
      <c r="K15" s="56" t="s">
        <v>259</v>
      </c>
      <c r="L15" s="28">
        <v>90</v>
      </c>
      <c r="M15" s="28" t="str">
        <f>IF(H15=0,
"Aptitude section not attempted. ",
IF(H15&gt;=33.75,
"Outstanding performance in Aptitude. ",
IF(H15&gt;=22.5,
"Good performance in Aptitude. ",
"Needs improvement in Aptitude. "))) &amp;
IF(I15=0,
" General MBA Questions section not attempted. ",
IF(I15&gt;=33.75,
" Outstanding performance in General MBA Questions. ",
IF(I15&gt;=22.5,
" Good performance in General MBA Questions. ",
" Needs improvement in General MBA Questions. ")))</f>
        <v xml:space="preserve">Aptitude section not attempted.  General MBA Questions section not attempted. </v>
      </c>
      <c r="N15" s="11">
        <v>0</v>
      </c>
      <c r="O15" s="11">
        <v>0</v>
      </c>
      <c r="P15" s="11">
        <v>0</v>
      </c>
      <c r="Q15" s="11">
        <v>0</v>
      </c>
      <c r="R15" s="41">
        <f>SUM(N15:Q15)</f>
        <v>0</v>
      </c>
      <c r="S15" s="60" t="s">
        <v>259</v>
      </c>
      <c r="T15" s="41">
        <v>20</v>
      </c>
      <c r="U15" s="45" t="str">
        <f>IF(AND(N15=0,O15=0,P15=0,Q15=0),
"Personal Interview not attempted. Please ensure participation next time.",
IF(N15=0,
"Self Expression not attempted. Focus on articulating thoughts clearly.",
IF(N15&gt;=4,
"Outstanding Self Expression. ",
IF(N15&gt;=2,
"Good Self Expression. ",
"Needs improvement in Self Expression. "))) &amp;
IF(O15=0,
"Domain Knowledge not attempted. Focus on relevant topics.",
IF(O15&gt;=4,
"Outstanding performance in Domain Knowledge. ",
IF(O15&gt;=2,
"Good performance in Domain Knowledge. ",
"Needs improvement in Domain Knowledge. "))) &amp;
IF(P15=0,
"Thought Process not attempted. Work on organizing your thoughts.",
IF(P15&gt;=4,
"Outstanding Thought Process. ",
IF(P15&gt;=2,
"Good Thought Process. ",
"Needs improvement in Thought Process. "))) &amp;
IF(Q15=0,
"Problem Solving Skills not attempted. Focus on practice.",
IF(Q15&gt;=4,
"Outstanding Problem Solving Skills. ",
IF(Q15&gt;=2,
"Good Problem Solving Skills. ",
"Needs improvement in Problem Solving Skills. "))))</f>
        <v>Personal Interview not attempted. Please ensure participation next time.</v>
      </c>
      <c r="V15" s="43">
        <v>0</v>
      </c>
      <c r="W15" s="11">
        <v>0</v>
      </c>
      <c r="X15" s="3">
        <v>0</v>
      </c>
      <c r="Y15" s="26">
        <v>0</v>
      </c>
      <c r="Z15" s="3">
        <f>SUM(V15:Y15)</f>
        <v>0</v>
      </c>
      <c r="AA15" s="64" t="s">
        <v>259</v>
      </c>
      <c r="AB15" s="69">
        <v>20</v>
      </c>
      <c r="AC15" s="7" t="str">
        <f>IF(AND(V15=0,W15=0,X15=0,Y15=0),
"GD Round not attempted. Active participation is crucial.",
IF(V15=0,
"Participation not attempted. Engage more in discussions.",
IF(V15&gt;=4,
"Outstanding Participation. ",
IF(V15&gt;=2,
"Good Participation. ",
"Needs improvement in Participation. "))) &amp;
IF(W15=0,
"Communication not attempted. Focus on expressing ideas clearly.",
IF(W15&gt;=4,
"Outstanding Communication. ",
IF(W15&gt;=2,
"Good Communication. ",
"Needs improvement in Communication. "))) &amp;
IF(X15=0,
"Presence of Mind not attempted. Work on staying alert during discussions.",
IF(X15&gt;=4,
"Outstanding Presence of Mind. ",
IF(X15&gt;=2,
"Good Presence of Mind. ",
"Needs improvement in Presence of Mind. "))) &amp;
IF(Y15=0,
"Presentation not attempted. Enhance your presentation skills.",
IF(Y15&gt;=4,
"Outstanding Presentation. ",
IF(Y15&gt;=2,
"Good Presentation. ",
"Needs improvement in Presentation. "))))</f>
        <v>GD Round not attempted. Active participation is crucial.</v>
      </c>
      <c r="AD15" s="43">
        <v>0</v>
      </c>
      <c r="AE15" s="11">
        <v>0</v>
      </c>
      <c r="AF15" s="3">
        <v>0</v>
      </c>
      <c r="AG15" s="26">
        <v>0</v>
      </c>
      <c r="AH15" s="19">
        <f>SUM(AD15:AG15)</f>
        <v>0</v>
      </c>
      <c r="AI15" s="73" t="s">
        <v>259</v>
      </c>
      <c r="AJ15" s="76">
        <v>20</v>
      </c>
      <c r="AK15" s="45" t="str">
        <f>IF(AND(AD15=0,AE15=0,AF15=0,AG15=0),
"HR Round not attempted. It's essential to participate in all assessments.",
IF(AD15=0,
"Values not attempted. Reflect on your core values.",
IF(AD15&gt;=4,
"Outstanding understanding of Values. ",
IF(AD15&gt;=2,
"Good understanding of Values. ",
"Needs improvement in understanding Values. "))) &amp;
IF(AE15=0,
"Career Goal not attempted. Define your career objectives clearly.",
IF(AE15&gt;=4,
"Outstanding clarity in Career Goals. ",
IF(AE15&gt;=2,
"Good clarity in Career Goals. ",
"Needs improvement in defining Career Goals. "))) &amp;
IF(AF15=0,
"Behavior Skills not attempted. Work on interpersonal skills.",
IF(AF15&gt;=4,
"Outstanding Behavior Skills. ",
IF(AF15&gt;=2,
"Good Behavior Skills. ",
"Needs improvement in Behavior Skills. "))) &amp;
IF(AG15=0,
"Role Fitment not attempted. Assess your fit for the role.",
IF(AG15&gt;=4,
"Outstanding Role Fitment. ",
IF(AG15&gt;=2,
"Good Role Fitment. ",
"Needs improvement in Role Fitment. "))))</f>
        <v>HR Round not attempted. It's essential to participate in all assessments.</v>
      </c>
      <c r="AL15" s="65">
        <f>SUM(J15,R15,Z15,AH15)</f>
        <v>0</v>
      </c>
      <c r="AM15" s="57">
        <v>0</v>
      </c>
      <c r="AN15" s="70">
        <v>150</v>
      </c>
      <c r="AO15" s="64" t="s">
        <v>259</v>
      </c>
      <c r="AP15" s="52" t="str">
        <f>IF(AND(J15=0,R15=0,Z15=0,AH15=0),
"No participation in any assessment. Please ensure participation in future evaluations.",
IF(J15=0,
"Online Assessment not attempted. Focus on improving basic skills.",
IF(J15&gt;=67.5,
"Outstanding performance in Online Assessment. ",
IF(J15&gt;=45,
"Good performance in Online Assessment. ",
"Needs improvement in Online Assessment. "))) &amp;
IF(R15=0,
"Personal Interview not attempted. Active engagement is essential.",
IF(R15&gt;=16,
"Outstanding performance in Personal Interview. ",
IF(R15&gt;=10,
"Good performance in Personal Interview. ",
"Needs improvement in Personal Interview. "))) &amp;
IF(Z15=0,
"GD Round not attempted. Active participation is crucial.",
IF(Z15&gt;=16,
"Outstanding performance in GD Round. ",
IF(Z15&gt;=10,
"Good performance in GD Round. ",
"Needs improvement in GD Round. "))) &amp;
IF(AH15=0,
"HR Round not attempted. Engage in the assessment process.",
IF(AH15&gt;=16,
"Outstanding performance in HR Round. ",
IF(AH15&gt;=10,
"Good performance in HR Round. ",
"Needs improvement in HR Round."))))</f>
        <v>No participation in any assessment. Please ensure participation in future evaluations.</v>
      </c>
    </row>
    <row r="16" spans="1:43" ht="13">
      <c r="A16">
        <v>13</v>
      </c>
      <c r="B16" s="39" t="s">
        <v>182</v>
      </c>
      <c r="C16" s="40" t="s">
        <v>183</v>
      </c>
      <c r="D16" s="40">
        <v>6283477669</v>
      </c>
      <c r="E16" s="7" t="s">
        <v>253</v>
      </c>
      <c r="F16" s="7"/>
      <c r="G16" s="7"/>
      <c r="H16" s="7">
        <v>11.1</v>
      </c>
      <c r="I16" s="7">
        <v>18</v>
      </c>
      <c r="J16" s="28">
        <f>SUM(H16:I16)</f>
        <v>29.1</v>
      </c>
      <c r="K16" s="56">
        <v>29.1</v>
      </c>
      <c r="L16" s="28">
        <v>90</v>
      </c>
      <c r="M16" s="28" t="str">
        <f>IF(H16=0,
"Aptitude section not attempted. ",
IF(H16&gt;=33.75,
"Outstanding performance in Aptitude. ",
IF(H16&gt;=22.5,
"Good performance in Aptitude. ",
"Needs improvement in Aptitude. "))) &amp;
IF(I16=0,
" General MBA Questions section not attempted. ",
IF(I16&gt;=33.75,
" Outstanding performance in General MBA Questions. ",
IF(I16&gt;=22.5,
" Good performance in General MBA Questions. ",
" Needs improvement in General MBA Questions. ")))</f>
        <v xml:space="preserve">Needs improvement in Aptitude.  Needs improvement in General MBA Questions. </v>
      </c>
      <c r="N16" s="11">
        <v>0</v>
      </c>
      <c r="O16" s="11">
        <v>0</v>
      </c>
      <c r="P16" s="11">
        <v>0</v>
      </c>
      <c r="Q16" s="11">
        <v>0</v>
      </c>
      <c r="R16" s="41">
        <f>SUM(N16:Q16)</f>
        <v>0</v>
      </c>
      <c r="S16" s="60" t="s">
        <v>259</v>
      </c>
      <c r="T16" s="41">
        <v>20</v>
      </c>
      <c r="U16" s="45" t="str">
        <f>IF(AND(N16=0,O16=0,P16=0,Q16=0),
"Personal Interview not attempted. Please ensure participation next time.",
IF(N16=0,
"Self Expression not attempted. Focus on articulating thoughts clearly.",
IF(N16&gt;=4,
"Outstanding Self Expression. ",
IF(N16&gt;=2,
"Good Self Expression. ",
"Needs improvement in Self Expression. "))) &amp;
IF(O16=0,
"Domain Knowledge not attempted. Focus on relevant topics.",
IF(O16&gt;=4,
"Outstanding performance in Domain Knowledge. ",
IF(O16&gt;=2,
"Good performance in Domain Knowledge. ",
"Needs improvement in Domain Knowledge. "))) &amp;
IF(P16=0,
"Thought Process not attempted. Work on organizing your thoughts.",
IF(P16&gt;=4,
"Outstanding Thought Process. ",
IF(P16&gt;=2,
"Good Thought Process. ",
"Needs improvement in Thought Process. "))) &amp;
IF(Q16=0,
"Problem Solving Skills not attempted. Focus on practice.",
IF(Q16&gt;=4,
"Outstanding Problem Solving Skills. ",
IF(Q16&gt;=2,
"Good Problem Solving Skills. ",
"Needs improvement in Problem Solving Skills. "))))</f>
        <v>Personal Interview not attempted. Please ensure participation next time.</v>
      </c>
      <c r="V16" s="43">
        <v>3</v>
      </c>
      <c r="W16" s="11">
        <v>3</v>
      </c>
      <c r="X16" s="3">
        <v>4</v>
      </c>
      <c r="Y16" s="26">
        <v>2</v>
      </c>
      <c r="Z16" s="3">
        <f>SUM(V16:Y16)</f>
        <v>12</v>
      </c>
      <c r="AA16" s="57">
        <v>12</v>
      </c>
      <c r="AB16" s="69">
        <v>20</v>
      </c>
      <c r="AC16" s="7" t="str">
        <f>IF(AND(V16=0,W16=0,X16=0,Y16=0),
"GD Round not attempted. Active participation is crucial.",
IF(V16=0,
"Participation not attempted. Engage more in discussions.",
IF(V16&gt;=4,
"Outstanding Participation. ",
IF(V16&gt;=2,
"Good Participation. ",
"Needs improvement in Participation. "))) &amp;
IF(W16=0,
"Communication not attempted. Focus on expressing ideas clearly.",
IF(W16&gt;=4,
"Outstanding Communication. ",
IF(W16&gt;=2,
"Good Communication. ",
"Needs improvement in Communication. "))) &amp;
IF(X16=0,
"Presence of Mind not attempted. Work on staying alert during discussions.",
IF(X16&gt;=4,
"Outstanding Presence of Mind. ",
IF(X16&gt;=2,
"Good Presence of Mind. ",
"Needs improvement in Presence of Mind. "))) &amp;
IF(Y16=0,
"Presentation not attempted. Enhance your presentation skills.",
IF(Y16&gt;=4,
"Outstanding Presentation. ",
IF(Y16&gt;=2,
"Good Presentation. ",
"Needs improvement in Presentation. "))))</f>
        <v xml:space="preserve">Good Participation. Good Communication. Outstanding Presence of Mind. Good Presentation. </v>
      </c>
      <c r="AD16" s="43">
        <v>0</v>
      </c>
      <c r="AE16" s="11">
        <v>0</v>
      </c>
      <c r="AF16" s="3">
        <v>0</v>
      </c>
      <c r="AG16" s="26">
        <v>0</v>
      </c>
      <c r="AH16" s="19">
        <f>SUM(AD16:AG16)</f>
        <v>0</v>
      </c>
      <c r="AI16" s="73" t="s">
        <v>259</v>
      </c>
      <c r="AJ16" s="76">
        <v>20</v>
      </c>
      <c r="AK16" s="45" t="str">
        <f>IF(AND(AD16=0,AE16=0,AF16=0,AG16=0),
"HR Round not attempted. It's essential to participate in all assessments.",
IF(AD16=0,
"Values not attempted. Reflect on your core values.",
IF(AD16&gt;=4,
"Outstanding understanding of Values. ",
IF(AD16&gt;=2,
"Good understanding of Values. ",
"Needs improvement in understanding Values. "))) &amp;
IF(AE16=0,
"Career Goal not attempted. Define your career objectives clearly.",
IF(AE16&gt;=4,
"Outstanding clarity in Career Goals. ",
IF(AE16&gt;=2,
"Good clarity in Career Goals. ",
"Needs improvement in defining Career Goals. "))) &amp;
IF(AF16=0,
"Behavior Skills not attempted. Work on interpersonal skills.",
IF(AF16&gt;=4,
"Outstanding Behavior Skills. ",
IF(AF16&gt;=2,
"Good Behavior Skills. ",
"Needs improvement in Behavior Skills. "))) &amp;
IF(AG16=0,
"Role Fitment not attempted. Assess your fit for the role.",
IF(AG16&gt;=4,
"Outstanding Role Fitment. ",
IF(AG16&gt;=2,
"Good Role Fitment. ",
"Needs improvement in Role Fitment. "))))</f>
        <v>HR Round not attempted. It's essential to participate in all assessments.</v>
      </c>
      <c r="AL16" s="65">
        <f>SUM(J16,R16,Z16,AH16)</f>
        <v>41.1</v>
      </c>
      <c r="AM16" s="57">
        <v>41.1</v>
      </c>
      <c r="AN16" s="70">
        <v>150</v>
      </c>
      <c r="AO16" s="57">
        <v>69</v>
      </c>
      <c r="AP16" s="52" t="str">
        <f>IF(AND(J16=0,R16=0,Z16=0,AH16=0),
"No participation in any assessment. Please ensure participation in future evaluations.",
IF(J16=0,
"Online Assessment not attempted. Focus on improving basic skills.",
IF(J16&gt;=67.5,
"Outstanding performance in Online Assessment. ",
IF(J16&gt;=45,
"Good performance in Online Assessment. ",
"Needs improvement in Online Assessment. "))) &amp;
IF(R16=0,
"Personal Interview not attempted. Active engagement is essential.",
IF(R16&gt;=16,
"Outstanding performance in Personal Interview. ",
IF(R16&gt;=10,
"Good performance in Personal Interview. ",
"Needs improvement in Personal Interview. "))) &amp;
IF(Z16=0,
"GD Round not attempted. Active participation is crucial.",
IF(Z16&gt;=16,
"Outstanding performance in GD Round. ",
IF(Z16&gt;=10,
"Good performance in GD Round. ",
"Needs improvement in GD Round. "))) &amp;
IF(AH16=0,
"HR Round not attempted. Engage in the assessment process.",
IF(AH16&gt;=16,
"Outstanding performance in HR Round. ",
IF(AH16&gt;=10,
"Good performance in HR Round. ",
"Needs improvement in HR Round."))))</f>
        <v>Needs improvement in Online Assessment. Personal Interview not attempted. Active engagement is essential.Good performance in GD Round. HR Round not attempted. Engage in the assessment process.</v>
      </c>
    </row>
    <row r="17" spans="1:42" ht="13">
      <c r="A17">
        <v>14</v>
      </c>
      <c r="B17" s="39" t="s">
        <v>233</v>
      </c>
      <c r="C17" s="40" t="s">
        <v>234</v>
      </c>
      <c r="D17" s="40">
        <v>7082283511</v>
      </c>
      <c r="E17" s="7" t="s">
        <v>253</v>
      </c>
      <c r="F17" s="7"/>
      <c r="G17" s="7"/>
      <c r="H17" s="7">
        <v>0</v>
      </c>
      <c r="I17" s="7">
        <v>0</v>
      </c>
      <c r="J17" s="28">
        <f>SUM(H17:I17)</f>
        <v>0</v>
      </c>
      <c r="K17" s="56" t="s">
        <v>259</v>
      </c>
      <c r="L17" s="28">
        <v>90</v>
      </c>
      <c r="M17" s="28" t="str">
        <f>IF(H17=0,
"Aptitude section not attempted. ",
IF(H17&gt;=33.75,
"Outstanding performance in Aptitude. ",
IF(H17&gt;=22.5,
"Good performance in Aptitude. ",
"Needs improvement in Aptitude. "))) &amp;
IF(I17=0,
" General MBA Questions section not attempted. ",
IF(I17&gt;=33.75,
" Outstanding performance in General MBA Questions. ",
IF(I17&gt;=22.5,
" Good performance in General MBA Questions. ",
" Needs improvement in General MBA Questions. ")))</f>
        <v xml:space="preserve">Aptitude section not attempted.  General MBA Questions section not attempted. </v>
      </c>
      <c r="N17" s="11">
        <v>0</v>
      </c>
      <c r="O17" s="11">
        <v>0</v>
      </c>
      <c r="P17" s="11">
        <v>0</v>
      </c>
      <c r="Q17" s="11">
        <v>0</v>
      </c>
      <c r="R17" s="41">
        <f>SUM(N17:Q17)</f>
        <v>0</v>
      </c>
      <c r="S17" s="60" t="s">
        <v>259</v>
      </c>
      <c r="T17" s="41">
        <v>20</v>
      </c>
      <c r="U17" s="45" t="str">
        <f>IF(AND(N17=0,O17=0,P17=0,Q17=0),
"Personal Interview not attempted. Please ensure participation next time.",
IF(N17=0,
"Self Expression not attempted. Focus on articulating thoughts clearly.",
IF(N17&gt;=4,
"Outstanding Self Expression. ",
IF(N17&gt;=2,
"Good Self Expression. ",
"Needs improvement in Self Expression. "))) &amp;
IF(O17=0,
"Domain Knowledge not attempted. Focus on relevant topics.",
IF(O17&gt;=4,
"Outstanding performance in Domain Knowledge. ",
IF(O17&gt;=2,
"Good performance in Domain Knowledge. ",
"Needs improvement in Domain Knowledge. "))) &amp;
IF(P17=0,
"Thought Process not attempted. Work on organizing your thoughts.",
IF(P17&gt;=4,
"Outstanding Thought Process. ",
IF(P17&gt;=2,
"Good Thought Process. ",
"Needs improvement in Thought Process. "))) &amp;
IF(Q17=0,
"Problem Solving Skills not attempted. Focus on practice.",
IF(Q17&gt;=4,
"Outstanding Problem Solving Skills. ",
IF(Q17&gt;=2,
"Good Problem Solving Skills. ",
"Needs improvement in Problem Solving Skills. "))))</f>
        <v>Personal Interview not attempted. Please ensure participation next time.</v>
      </c>
      <c r="V17" s="43">
        <v>0</v>
      </c>
      <c r="W17" s="11">
        <v>0</v>
      </c>
      <c r="X17" s="3">
        <v>0</v>
      </c>
      <c r="Y17" s="87">
        <v>0</v>
      </c>
      <c r="Z17" s="3">
        <f>SUM(V17:Y17)</f>
        <v>0</v>
      </c>
      <c r="AA17" s="64" t="s">
        <v>259</v>
      </c>
      <c r="AB17" s="69">
        <v>20</v>
      </c>
      <c r="AC17" s="7" t="str">
        <f>IF(AND(V17=0,W17=0,X17=0,Y17=0),
"GD Round not attempted. Active participation is crucial.",
IF(V17=0,
"Participation not attempted. Engage more in discussions.",
IF(V17&gt;=4,
"Outstanding Participation. ",
IF(V17&gt;=2,
"Good Participation. ",
"Needs improvement in Participation. "))) &amp;
IF(W17=0,
"Communication not attempted. Focus on expressing ideas clearly.",
IF(W17&gt;=4,
"Outstanding Communication. ",
IF(W17&gt;=2,
"Good Communication. ",
"Needs improvement in Communication. "))) &amp;
IF(X17=0,
"Presence of Mind not attempted. Work on staying alert during discussions.",
IF(X17&gt;=4,
"Outstanding Presence of Mind. ",
IF(X17&gt;=2,
"Good Presence of Mind. ",
"Needs improvement in Presence of Mind. "))) &amp;
IF(Y17=0,
"Presentation not attempted. Enhance your presentation skills.",
IF(Y17&gt;=4,
"Outstanding Presentation. ",
IF(Y17&gt;=2,
"Good Presentation. ",
"Needs improvement in Presentation. "))))</f>
        <v>GD Round not attempted. Active participation is crucial.</v>
      </c>
      <c r="AD17" s="43">
        <v>0</v>
      </c>
      <c r="AE17" s="11">
        <v>0</v>
      </c>
      <c r="AF17" s="82">
        <v>0</v>
      </c>
      <c r="AG17" s="5">
        <v>0</v>
      </c>
      <c r="AH17" s="19">
        <f>SUM(AD17:AG17)</f>
        <v>0</v>
      </c>
      <c r="AI17" s="73" t="s">
        <v>259</v>
      </c>
      <c r="AJ17" s="76">
        <v>20</v>
      </c>
      <c r="AK17" s="45" t="str">
        <f>IF(AND(AD17=0,AE17=0,AF17=0,AG17=0),
"HR Round not attempted. It's essential to participate in all assessments.",
IF(AD17=0,
"Values not attempted. Reflect on your core values.",
IF(AD17&gt;=4,
"Outstanding understanding of Values. ",
IF(AD17&gt;=2,
"Good understanding of Values. ",
"Needs improvement in understanding Values. "))) &amp;
IF(AE17=0,
"Career Goal not attempted. Define your career objectives clearly.",
IF(AE17&gt;=4,
"Outstanding clarity in Career Goals. ",
IF(AE17&gt;=2,
"Good clarity in Career Goals. ",
"Needs improvement in defining Career Goals. "))) &amp;
IF(AF17=0,
"Behavior Skills not attempted. Work on interpersonal skills.",
IF(AF17&gt;=4,
"Outstanding Behavior Skills. ",
IF(AF17&gt;=2,
"Good Behavior Skills. ",
"Needs improvement in Behavior Skills. "))) &amp;
IF(AG17=0,
"Role Fitment not attempted. Assess your fit for the role.",
IF(AG17&gt;=4,
"Outstanding Role Fitment. ",
IF(AG17&gt;=2,
"Good Role Fitment. ",
"Needs improvement in Role Fitment. "))))</f>
        <v>HR Round not attempted. It's essential to participate in all assessments.</v>
      </c>
      <c r="AL17" s="65">
        <f>SUM(J17,R17,Z17,AH17)</f>
        <v>0</v>
      </c>
      <c r="AM17" s="57">
        <v>0</v>
      </c>
      <c r="AN17" s="70">
        <v>150</v>
      </c>
      <c r="AO17" s="64" t="s">
        <v>259</v>
      </c>
      <c r="AP17" s="52" t="str">
        <f>IF(AND(J17=0,R17=0,Z17=0,AH17=0),
"No participation in any assessment. Please ensure participation in future evaluations.",
IF(J17=0,
"Online Assessment not attempted. Focus on improving basic skills.",
IF(J17&gt;=67.5,
"Outstanding performance in Online Assessment. ",
IF(J17&gt;=45,
"Good performance in Online Assessment. ",
"Needs improvement in Online Assessment. "))) &amp;
IF(R17=0,
"Personal Interview not attempted. Active engagement is essential.",
IF(R17&gt;=16,
"Outstanding performance in Personal Interview. ",
IF(R17&gt;=10,
"Good performance in Personal Interview. ",
"Needs improvement in Personal Interview. "))) &amp;
IF(Z17=0,
"GD Round not attempted. Active participation is crucial.",
IF(Z17&gt;=16,
"Outstanding performance in GD Round. ",
IF(Z17&gt;=10,
"Good performance in GD Round. ",
"Needs improvement in GD Round. "))) &amp;
IF(AH17=0,
"HR Round not attempted. Engage in the assessment process.",
IF(AH17&gt;=16,
"Outstanding performance in HR Round. ",
IF(AH17&gt;=10,
"Good performance in HR Round. ",
"Needs improvement in HR Round."))))</f>
        <v>No participation in any assessment. Please ensure participation in future evaluations.</v>
      </c>
    </row>
    <row r="18" spans="1:42" ht="13">
      <c r="A18">
        <v>15</v>
      </c>
      <c r="B18" s="39" t="s">
        <v>105</v>
      </c>
      <c r="C18" s="40" t="s">
        <v>106</v>
      </c>
      <c r="D18" s="40">
        <v>6230282117</v>
      </c>
      <c r="E18" s="7" t="s">
        <v>253</v>
      </c>
      <c r="F18" s="6"/>
      <c r="G18" s="6"/>
      <c r="H18" s="7">
        <v>0</v>
      </c>
      <c r="I18" s="7">
        <v>0</v>
      </c>
      <c r="J18" s="28">
        <f>SUM(H18:I18)</f>
        <v>0</v>
      </c>
      <c r="K18" s="56" t="s">
        <v>259</v>
      </c>
      <c r="L18" s="28">
        <v>90</v>
      </c>
      <c r="M18" s="28" t="str">
        <f>IF(H18=0,
"Aptitude section not attempted. ",
IF(H18&gt;=33.75,
"Outstanding performance in Aptitude. ",
IF(H18&gt;=22.5,
"Good performance in Aptitude. ",
"Needs improvement in Aptitude. "))) &amp;
IF(I18=0,
" General MBA Questions section not attempted. ",
IF(I18&gt;=33.75,
" Outstanding performance in General MBA Questions. ",
IF(I18&gt;=22.5,
" Good performance in General MBA Questions. ",
" Needs improvement in General MBA Questions. ")))</f>
        <v xml:space="preserve">Aptitude section not attempted.  General MBA Questions section not attempted. </v>
      </c>
      <c r="N18" s="11">
        <v>3</v>
      </c>
      <c r="O18" s="11">
        <v>2</v>
      </c>
      <c r="P18" s="11">
        <v>2</v>
      </c>
      <c r="Q18" s="11">
        <v>3</v>
      </c>
      <c r="R18" s="41">
        <f>SUM(N18:Q18)</f>
        <v>10</v>
      </c>
      <c r="S18" s="60">
        <v>10</v>
      </c>
      <c r="T18" s="41">
        <v>20</v>
      </c>
      <c r="U18" s="45" t="str">
        <f>IF(AND(N18=0,O18=0,P18=0,Q18=0),
"Personal Interview not attempted. Please ensure participation next time.",
IF(N18=0,
"Self Expression not attempted. Focus on articulating thoughts clearly.",
IF(N18&gt;=4,
"Outstanding Self Expression. ",
IF(N18&gt;=2,
"Good Self Expression. ",
"Needs improvement in Self Expression. "))) &amp;
IF(O18=0,
"Domain Knowledge not attempted. Focus on relevant topics.",
IF(O18&gt;=4,
"Outstanding performance in Domain Knowledge. ",
IF(O18&gt;=2,
"Good performance in Domain Knowledge. ",
"Needs improvement in Domain Knowledge. "))) &amp;
IF(P18=0,
"Thought Process not attempted. Work on organizing your thoughts.",
IF(P18&gt;=4,
"Outstanding Thought Process. ",
IF(P18&gt;=2,
"Good Thought Process. ",
"Needs improvement in Thought Process. "))) &amp;
IF(Q18=0,
"Problem Solving Skills not attempted. Focus on practice.",
IF(Q18&gt;=4,
"Outstanding Problem Solving Skills. ",
IF(Q18&gt;=2,
"Good Problem Solving Skills. ",
"Needs improvement in Problem Solving Skills. "))))</f>
        <v xml:space="preserve">Good Self Expression. Good performance in Domain Knowledge. Good Thought Process. Good Problem Solving Skills. </v>
      </c>
      <c r="V18" s="43">
        <v>2</v>
      </c>
      <c r="W18" s="11">
        <v>2</v>
      </c>
      <c r="X18" s="3">
        <v>2</v>
      </c>
      <c r="Y18" s="18">
        <v>2</v>
      </c>
      <c r="Z18" s="3">
        <f>SUM(V18:Y18)</f>
        <v>8</v>
      </c>
      <c r="AA18" s="57">
        <v>8</v>
      </c>
      <c r="AB18" s="69">
        <v>20</v>
      </c>
      <c r="AC18" s="7" t="str">
        <f>IF(AND(V18=0,W18=0,X18=0,Y18=0),
"GD Round not attempted. Active participation is crucial.",
IF(V18=0,
"Participation not attempted. Engage more in discussions.",
IF(V18&gt;=4,
"Outstanding Participation. ",
IF(V18&gt;=2,
"Good Participation. ",
"Needs improvement in Participation. "))) &amp;
IF(W18=0,
"Communication not attempted. Focus on expressing ideas clearly.",
IF(W18&gt;=4,
"Outstanding Communication. ",
IF(W18&gt;=2,
"Good Communication. ",
"Needs improvement in Communication. "))) &amp;
IF(X18=0,
"Presence of Mind not attempted. Work on staying alert during discussions.",
IF(X18&gt;=4,
"Outstanding Presence of Mind. ",
IF(X18&gt;=2,
"Good Presence of Mind. ",
"Needs improvement in Presence of Mind. "))) &amp;
IF(Y18=0,
"Presentation not attempted. Enhance your presentation skills.",
IF(Y18&gt;=4,
"Outstanding Presentation. ",
IF(Y18&gt;=2,
"Good Presentation. ",
"Needs improvement in Presentation. "))))</f>
        <v xml:space="preserve">Good Participation. Good Communication. Good Presence of Mind. Good Presentation. </v>
      </c>
      <c r="AD18" s="43">
        <v>0</v>
      </c>
      <c r="AE18" s="11">
        <v>0</v>
      </c>
      <c r="AF18" s="3">
        <v>0</v>
      </c>
      <c r="AG18" s="26">
        <v>0</v>
      </c>
      <c r="AH18" s="19">
        <f>SUM(AD18:AG18)</f>
        <v>0</v>
      </c>
      <c r="AI18" s="73" t="s">
        <v>259</v>
      </c>
      <c r="AJ18" s="76">
        <v>20</v>
      </c>
      <c r="AK18" s="45" t="str">
        <f>IF(AND(AD18=0,AE18=0,AF18=0,AG18=0),
"HR Round not attempted. It's essential to participate in all assessments.",
IF(AD18=0,
"Values not attempted. Reflect on your core values.",
IF(AD18&gt;=4,
"Outstanding understanding of Values. ",
IF(AD18&gt;=2,
"Good understanding of Values. ",
"Needs improvement in understanding Values. "))) &amp;
IF(AE18=0,
"Career Goal not attempted. Define your career objectives clearly.",
IF(AE18&gt;=4,
"Outstanding clarity in Career Goals. ",
IF(AE18&gt;=2,
"Good clarity in Career Goals. ",
"Needs improvement in defining Career Goals. "))) &amp;
IF(AF18=0,
"Behavior Skills not attempted. Work on interpersonal skills.",
IF(AF18&gt;=4,
"Outstanding Behavior Skills. ",
IF(AF18&gt;=2,
"Good Behavior Skills. ",
"Needs improvement in Behavior Skills. "))) &amp;
IF(AG18=0,
"Role Fitment not attempted. Assess your fit for the role.",
IF(AG18&gt;=4,
"Outstanding Role Fitment. ",
IF(AG18&gt;=2,
"Good Role Fitment. ",
"Needs improvement in Role Fitment. "))))</f>
        <v>HR Round not attempted. It's essential to participate in all assessments.</v>
      </c>
      <c r="AL18" s="65">
        <f>SUM(J18,R18,Z18,AH18)</f>
        <v>18</v>
      </c>
      <c r="AM18" s="57">
        <v>18</v>
      </c>
      <c r="AN18" s="70">
        <v>150</v>
      </c>
      <c r="AO18" s="57">
        <v>93</v>
      </c>
      <c r="AP18" s="52" t="str">
        <f>IF(AND(J18=0,R18=0,Z18=0,AH18=0),
"No participation in any assessment. Please ensure participation in future evaluations.",
IF(J18=0,
"Online Assessment not attempted. Focus on improving basic skills.",
IF(J18&gt;=67.5,
"Outstanding performance in Online Assessment. ",
IF(J18&gt;=45,
"Good performance in Online Assessment. ",
"Needs improvement in Online Assessment. "))) &amp;
IF(R18=0,
"Personal Interview not attempted. Active engagement is essential.",
IF(R18&gt;=16,
"Outstanding performance in Personal Interview. ",
IF(R18&gt;=10,
"Good performance in Personal Interview. ",
"Needs improvement in Personal Interview. "))) &amp;
IF(Z18=0,
"GD Round not attempted. Active participation is crucial.",
IF(Z18&gt;=16,
"Outstanding performance in GD Round. ",
IF(Z18&gt;=10,
"Good performance in GD Round. ",
"Needs improvement in GD Round. "))) &amp;
IF(AH18=0,
"HR Round not attempted. Engage in the assessment process.",
IF(AH18&gt;=16,
"Outstanding performance in HR Round. ",
IF(AH18&gt;=10,
"Good performance in HR Round. ",
"Needs improvement in HR Round."))))</f>
        <v>Online Assessment not attempted. Focus on improving basic skills.Good performance in Personal Interview. Needs improvement in GD Round. HR Round not attempted. Engage in the assessment process.</v>
      </c>
    </row>
    <row r="19" spans="1:42" ht="13">
      <c r="A19">
        <v>16</v>
      </c>
      <c r="B19" s="39" t="s">
        <v>107</v>
      </c>
      <c r="C19" s="40" t="s">
        <v>108</v>
      </c>
      <c r="D19" s="40">
        <v>8437509245</v>
      </c>
      <c r="E19" s="7" t="s">
        <v>253</v>
      </c>
      <c r="F19" s="6"/>
      <c r="G19" s="6"/>
      <c r="H19" s="7">
        <v>11.75</v>
      </c>
      <c r="I19" s="7">
        <v>28</v>
      </c>
      <c r="J19" s="28">
        <f>SUM(H19:I19)</f>
        <v>39.75</v>
      </c>
      <c r="K19" s="56">
        <v>39.75</v>
      </c>
      <c r="L19" s="28">
        <v>90</v>
      </c>
      <c r="M19" s="28" t="str">
        <f>IF(H19=0,
"Aptitude section not attempted. ",
IF(H19&gt;=33.75,
"Outstanding performance in Aptitude. ",
IF(H19&gt;=22.5,
"Good performance in Aptitude. ",
"Needs improvement in Aptitude. "))) &amp;
IF(I19=0,
" General MBA Questions section not attempted. ",
IF(I19&gt;=33.75,
" Outstanding performance in General MBA Questions. ",
IF(I19&gt;=22.5,
" Good performance in General MBA Questions. ",
" Needs improvement in General MBA Questions. ")))</f>
        <v xml:space="preserve">Needs improvement in Aptitude.  Good performance in General MBA Questions. </v>
      </c>
      <c r="N19" s="11">
        <v>2</v>
      </c>
      <c r="O19" s="11">
        <v>2</v>
      </c>
      <c r="P19" s="11">
        <v>2</v>
      </c>
      <c r="Q19" s="11">
        <v>2</v>
      </c>
      <c r="R19" s="41">
        <f>SUM(N19:Q19)</f>
        <v>8</v>
      </c>
      <c r="S19" s="60">
        <v>8</v>
      </c>
      <c r="T19" s="41">
        <v>20</v>
      </c>
      <c r="U19" s="45" t="str">
        <f>IF(AND(N19=0,O19=0,P19=0,Q19=0),
"Personal Interview not attempted. Please ensure participation next time.",
IF(N19=0,
"Self Expression not attempted. Focus on articulating thoughts clearly.",
IF(N19&gt;=4,
"Outstanding Self Expression. ",
IF(N19&gt;=2,
"Good Self Expression. ",
"Needs improvement in Self Expression. "))) &amp;
IF(O19=0,
"Domain Knowledge not attempted. Focus on relevant topics.",
IF(O19&gt;=4,
"Outstanding performance in Domain Knowledge. ",
IF(O19&gt;=2,
"Good performance in Domain Knowledge. ",
"Needs improvement in Domain Knowledge. "))) &amp;
IF(P19=0,
"Thought Process not attempted. Work on organizing your thoughts.",
IF(P19&gt;=4,
"Outstanding Thought Process. ",
IF(P19&gt;=2,
"Good Thought Process. ",
"Needs improvement in Thought Process. "))) &amp;
IF(Q19=0,
"Problem Solving Skills not attempted. Focus on practice.",
IF(Q19&gt;=4,
"Outstanding Problem Solving Skills. ",
IF(Q19&gt;=2,
"Good Problem Solving Skills. ",
"Needs improvement in Problem Solving Skills. "))))</f>
        <v xml:space="preserve">Good Self Expression. Good performance in Domain Knowledge. Good Thought Process. Good Problem Solving Skills. </v>
      </c>
      <c r="V19" s="43">
        <v>2</v>
      </c>
      <c r="W19" s="11">
        <v>2</v>
      </c>
      <c r="X19" s="3">
        <v>2</v>
      </c>
      <c r="Y19" s="87">
        <v>2</v>
      </c>
      <c r="Z19" s="3">
        <f>SUM(V19:Y19)</f>
        <v>8</v>
      </c>
      <c r="AA19" s="57">
        <v>8</v>
      </c>
      <c r="AB19" s="69">
        <v>20</v>
      </c>
      <c r="AC19" s="7" t="str">
        <f>IF(AND(V19=0,W19=0,X19=0,Y19=0),
"GD Round not attempted. Active participation is crucial.",
IF(V19=0,
"Participation not attempted. Engage more in discussions.",
IF(V19&gt;=4,
"Outstanding Participation. ",
IF(V19&gt;=2,
"Good Participation. ",
"Needs improvement in Participation. "))) &amp;
IF(W19=0,
"Communication not attempted. Focus on expressing ideas clearly.",
IF(W19&gt;=4,
"Outstanding Communication. ",
IF(W19&gt;=2,
"Good Communication. ",
"Needs improvement in Communication. "))) &amp;
IF(X19=0,
"Presence of Mind not attempted. Work on staying alert during discussions.",
IF(X19&gt;=4,
"Outstanding Presence of Mind. ",
IF(X19&gt;=2,
"Good Presence of Mind. ",
"Needs improvement in Presence of Mind. "))) &amp;
IF(Y19=0,
"Presentation not attempted. Enhance your presentation skills.",
IF(Y19&gt;=4,
"Outstanding Presentation. ",
IF(Y19&gt;=2,
"Good Presentation. ",
"Needs improvement in Presentation. "))))</f>
        <v xml:space="preserve">Good Participation. Good Communication. Good Presence of Mind. Good Presentation. </v>
      </c>
      <c r="AD19" s="43">
        <v>2</v>
      </c>
      <c r="AE19" s="11">
        <v>2</v>
      </c>
      <c r="AF19" s="88">
        <v>2</v>
      </c>
      <c r="AG19" s="25">
        <v>2</v>
      </c>
      <c r="AH19" s="19">
        <f>SUM(AD19:AG19)</f>
        <v>8</v>
      </c>
      <c r="AI19" s="73">
        <v>8</v>
      </c>
      <c r="AJ19" s="76">
        <v>20</v>
      </c>
      <c r="AK19" s="45" t="str">
        <f>IF(AND(AD19=0,AE19=0,AF19=0,AG19=0),
"HR Round not attempted. It's essential to participate in all assessments.",
IF(AD19=0,
"Values not attempted. Reflect on your core values.",
IF(AD19&gt;=4,
"Outstanding understanding of Values. ",
IF(AD19&gt;=2,
"Good understanding of Values. ",
"Needs improvement in understanding Values. "))) &amp;
IF(AE19=0,
"Career Goal not attempted. Define your career objectives clearly.",
IF(AE19&gt;=4,
"Outstanding clarity in Career Goals. ",
IF(AE19&gt;=2,
"Good clarity in Career Goals. ",
"Needs improvement in defining Career Goals. "))) &amp;
IF(AF19=0,
"Behavior Skills not attempted. Work on interpersonal skills.",
IF(AF19&gt;=4,
"Outstanding Behavior Skills. ",
IF(AF19&gt;=2,
"Good Behavior Skills. ",
"Needs improvement in Behavior Skills. "))) &amp;
IF(AG19=0,
"Role Fitment not attempted. Assess your fit for the role.",
IF(AG19&gt;=4,
"Outstanding Role Fitment. ",
IF(AG19&gt;=2,
"Good Role Fitment. ",
"Needs improvement in Role Fitment. "))))</f>
        <v xml:space="preserve">Good understanding of Values. Good clarity in Career Goals. Good Behavior Skills. Good Role Fitment. </v>
      </c>
      <c r="AL19" s="65">
        <f>SUM(J19,R19,Z19,AH19)</f>
        <v>63.75</v>
      </c>
      <c r="AM19" s="57">
        <v>63.75</v>
      </c>
      <c r="AN19" s="70">
        <v>150</v>
      </c>
      <c r="AO19" s="57">
        <v>27</v>
      </c>
      <c r="AP19" s="52" t="str">
        <f>IF(AND(J19=0,R19=0,Z19=0,AH19=0),
"No participation in any assessment. Please ensure participation in future evaluations.",
IF(J19=0,
"Online Assessment not attempted. Focus on improving basic skills.",
IF(J19&gt;=67.5,
"Outstanding performance in Online Assessment. ",
IF(J19&gt;=45,
"Good performance in Online Assessment. ",
"Needs improvement in Online Assessment. "))) &amp;
IF(R19=0,
"Personal Interview not attempted. Active engagement is essential.",
IF(R19&gt;=16,
"Outstanding performance in Personal Interview. ",
IF(R19&gt;=10,
"Good performance in Personal Interview. ",
"Needs improvement in Personal Interview. "))) &amp;
IF(Z19=0,
"GD Round not attempted. Active participation is crucial.",
IF(Z19&gt;=16,
"Outstanding performance in GD Round. ",
IF(Z19&gt;=10,
"Good performance in GD Round. ",
"Needs improvement in GD Round. "))) &amp;
IF(AH19=0,
"HR Round not attempted. Engage in the assessment process.",
IF(AH19&gt;=16,
"Outstanding performance in HR Round. ",
IF(AH19&gt;=10,
"Good performance in HR Round. ",
"Needs improvement in HR Round."))))</f>
        <v>Needs improvement in Online Assessment. Needs improvement in Personal Interview. Needs improvement in GD Round. Needs improvement in HR Round.</v>
      </c>
    </row>
    <row r="20" spans="1:42" ht="13">
      <c r="A20">
        <v>17</v>
      </c>
      <c r="B20" s="39" t="s">
        <v>47</v>
      </c>
      <c r="C20" s="40" t="s">
        <v>48</v>
      </c>
      <c r="D20" s="40">
        <v>7696032451</v>
      </c>
      <c r="E20" s="7" t="s">
        <v>253</v>
      </c>
      <c r="F20" s="6"/>
      <c r="G20" s="6"/>
      <c r="H20" s="7">
        <v>16.100000000000001</v>
      </c>
      <c r="I20" s="7">
        <v>32</v>
      </c>
      <c r="J20" s="28">
        <f>SUM(H20:I20)</f>
        <v>48.1</v>
      </c>
      <c r="K20" s="56">
        <v>48.1</v>
      </c>
      <c r="L20" s="28">
        <v>90</v>
      </c>
      <c r="M20" s="28" t="str">
        <f>IF(H20=0,
"Aptitude section not attempted. ",
IF(H20&gt;=33.75,
"Outstanding performance in Aptitude. ",
IF(H20&gt;=22.5,
"Good performance in Aptitude. ",
"Needs improvement in Aptitude. "))) &amp;
IF(I20=0,
" General MBA Questions section not attempted. ",
IF(I20&gt;=33.75,
" Outstanding performance in General MBA Questions. ",
IF(I20&gt;=22.5,
" Good performance in General MBA Questions. ",
" Needs improvement in General MBA Questions. ")))</f>
        <v xml:space="preserve">Needs improvement in Aptitude.  Good performance in General MBA Questions. </v>
      </c>
      <c r="N20" s="11">
        <v>0</v>
      </c>
      <c r="O20" s="11">
        <v>0</v>
      </c>
      <c r="P20" s="11">
        <v>0</v>
      </c>
      <c r="Q20" s="11">
        <v>0</v>
      </c>
      <c r="R20" s="41">
        <f>SUM(N20:Q20)</f>
        <v>0</v>
      </c>
      <c r="S20" s="60" t="s">
        <v>259</v>
      </c>
      <c r="T20" s="41">
        <v>20</v>
      </c>
      <c r="U20" s="45" t="str">
        <f>IF(AND(N20=0,O20=0,P20=0,Q20=0),
"Personal Interview not attempted. Please ensure participation next time.",
IF(N20=0,
"Self Expression not attempted. Focus on articulating thoughts clearly.",
IF(N20&gt;=4,
"Outstanding Self Expression. ",
IF(N20&gt;=2,
"Good Self Expression. ",
"Needs improvement in Self Expression. "))) &amp;
IF(O20=0,
"Domain Knowledge not attempted. Focus on relevant topics.",
IF(O20&gt;=4,
"Outstanding performance in Domain Knowledge. ",
IF(O20&gt;=2,
"Good performance in Domain Knowledge. ",
"Needs improvement in Domain Knowledge. "))) &amp;
IF(P20=0,
"Thought Process not attempted. Work on organizing your thoughts.",
IF(P20&gt;=4,
"Outstanding Thought Process. ",
IF(P20&gt;=2,
"Good Thought Process. ",
"Needs improvement in Thought Process. "))) &amp;
IF(Q20=0,
"Problem Solving Skills not attempted. Focus on practice.",
IF(Q20&gt;=4,
"Outstanding Problem Solving Skills. ",
IF(Q20&gt;=2,
"Good Problem Solving Skills. ",
"Needs improvement in Problem Solving Skills. "))))</f>
        <v>Personal Interview not attempted. Please ensure participation next time.</v>
      </c>
      <c r="V20" s="43">
        <v>3</v>
      </c>
      <c r="W20" s="11">
        <v>4</v>
      </c>
      <c r="X20" s="3">
        <v>3</v>
      </c>
      <c r="Y20" s="25">
        <v>4</v>
      </c>
      <c r="Z20" s="3">
        <f>SUM(V20:Y20)</f>
        <v>14</v>
      </c>
      <c r="AA20" s="57">
        <v>14</v>
      </c>
      <c r="AB20" s="69">
        <v>20</v>
      </c>
      <c r="AC20" s="7" t="str">
        <f>IF(AND(V20=0,W20=0,X20=0,Y20=0),
"GD Round not attempted. Active participation is crucial.",
IF(V20=0,
"Participation not attempted. Engage more in discussions.",
IF(V20&gt;=4,
"Outstanding Participation. ",
IF(V20&gt;=2,
"Good Participation. ",
"Needs improvement in Participation. "))) &amp;
IF(W20=0,
"Communication not attempted. Focus on expressing ideas clearly.",
IF(W20&gt;=4,
"Outstanding Communication. ",
IF(W20&gt;=2,
"Good Communication. ",
"Needs improvement in Communication. "))) &amp;
IF(X20=0,
"Presence of Mind not attempted. Work on staying alert during discussions.",
IF(X20&gt;=4,
"Outstanding Presence of Mind. ",
IF(X20&gt;=2,
"Good Presence of Mind. ",
"Needs improvement in Presence of Mind. "))) &amp;
IF(Y20=0,
"Presentation not attempted. Enhance your presentation skills.",
IF(Y20&gt;=4,
"Outstanding Presentation. ",
IF(Y20&gt;=2,
"Good Presentation. ",
"Needs improvement in Presentation. "))))</f>
        <v xml:space="preserve">Good Participation. Outstanding Communication. Good Presence of Mind. Outstanding Presentation. </v>
      </c>
      <c r="AD20" s="43">
        <v>2</v>
      </c>
      <c r="AE20" s="11">
        <v>2</v>
      </c>
      <c r="AF20" s="18">
        <v>3</v>
      </c>
      <c r="AG20" s="25">
        <v>2</v>
      </c>
      <c r="AH20" s="19">
        <f>SUM(AD20:AG20)</f>
        <v>9</v>
      </c>
      <c r="AI20" s="73">
        <v>9</v>
      </c>
      <c r="AJ20" s="76">
        <v>20</v>
      </c>
      <c r="AK20" s="45" t="str">
        <f>IF(AND(AD20=0,AE20=0,AF20=0,AG20=0),
"HR Round not attempted. It's essential to participate in all assessments.",
IF(AD20=0,
"Values not attempted. Reflect on your core values.",
IF(AD20&gt;=4,
"Outstanding understanding of Values. ",
IF(AD20&gt;=2,
"Good understanding of Values. ",
"Needs improvement in understanding Values. "))) &amp;
IF(AE20=0,
"Career Goal not attempted. Define your career objectives clearly.",
IF(AE20&gt;=4,
"Outstanding clarity in Career Goals. ",
IF(AE20&gt;=2,
"Good clarity in Career Goals. ",
"Needs improvement in defining Career Goals. "))) &amp;
IF(AF20=0,
"Behavior Skills not attempted. Work on interpersonal skills.",
IF(AF20&gt;=4,
"Outstanding Behavior Skills. ",
IF(AF20&gt;=2,
"Good Behavior Skills. ",
"Needs improvement in Behavior Skills. "))) &amp;
IF(AG20=0,
"Role Fitment not attempted. Assess your fit for the role.",
IF(AG20&gt;=4,
"Outstanding Role Fitment. ",
IF(AG20&gt;=2,
"Good Role Fitment. ",
"Needs improvement in Role Fitment. "))))</f>
        <v xml:space="preserve">Good understanding of Values. Good clarity in Career Goals. Good Behavior Skills. Good Role Fitment. </v>
      </c>
      <c r="AL20" s="65">
        <f>SUM(J20,R20,Z20,AH20)</f>
        <v>71.099999999999994</v>
      </c>
      <c r="AM20" s="57">
        <v>71.099999999999994</v>
      </c>
      <c r="AN20" s="70">
        <v>150</v>
      </c>
      <c r="AO20" s="57">
        <v>15</v>
      </c>
      <c r="AP20" s="52" t="str">
        <f>IF(AND(J20=0,R20=0,Z20=0,AH20=0),
"No participation in any assessment. Please ensure participation in future evaluations.",
IF(J20=0,
"Online Assessment not attempted. Focus on improving basic skills.",
IF(J20&gt;=67.5,
"Outstanding performance in Online Assessment. ",
IF(J20&gt;=45,
"Good performance in Online Assessment. ",
"Needs improvement in Online Assessment. "))) &amp;
IF(R20=0,
"Personal Interview not attempted. Active engagement is essential.",
IF(R20&gt;=16,
"Outstanding performance in Personal Interview. ",
IF(R20&gt;=10,
"Good performance in Personal Interview. ",
"Needs improvement in Personal Interview. "))) &amp;
IF(Z20=0,
"GD Round not attempted. Active participation is crucial.",
IF(Z20&gt;=16,
"Outstanding performance in GD Round. ",
IF(Z20&gt;=10,
"Good performance in GD Round. ",
"Needs improvement in GD Round. "))) &amp;
IF(AH20=0,
"HR Round not attempted. Engage in the assessment process.",
IF(AH20&gt;=16,
"Outstanding performance in HR Round. ",
IF(AH20&gt;=10,
"Good performance in HR Round. ",
"Needs improvement in HR Round."))))</f>
        <v>Good performance in Online Assessment. Personal Interview not attempted. Active engagement is essential.Good performance in GD Round. Needs improvement in HR Round.</v>
      </c>
    </row>
    <row r="21" spans="1:42" ht="13">
      <c r="A21">
        <v>18</v>
      </c>
      <c r="B21" s="39" t="s">
        <v>29</v>
      </c>
      <c r="C21" s="40" t="s">
        <v>30</v>
      </c>
      <c r="D21" s="40">
        <v>9418635317</v>
      </c>
      <c r="E21" s="7" t="s">
        <v>253</v>
      </c>
      <c r="F21" s="4"/>
      <c r="G21" s="4"/>
      <c r="H21" s="7">
        <v>11.65</v>
      </c>
      <c r="I21" s="7">
        <v>18</v>
      </c>
      <c r="J21" s="28">
        <f>SUM(H21:I21)</f>
        <v>29.65</v>
      </c>
      <c r="K21" s="56">
        <v>29.65</v>
      </c>
      <c r="L21" s="28">
        <v>90</v>
      </c>
      <c r="M21" s="28" t="str">
        <f>IF(H21=0,
"Aptitude section not attempted. ",
IF(H21&gt;=33.75,
"Outstanding performance in Aptitude. ",
IF(H21&gt;=22.5,
"Good performance in Aptitude. ",
"Needs improvement in Aptitude. "))) &amp;
IF(I21=0,
" General MBA Questions section not attempted. ",
IF(I21&gt;=33.75,
" Outstanding performance in General MBA Questions. ",
IF(I21&gt;=22.5,
" Good performance in General MBA Questions. ",
" Needs improvement in General MBA Questions. ")))</f>
        <v xml:space="preserve">Needs improvement in Aptitude.  Needs improvement in General MBA Questions. </v>
      </c>
      <c r="N21" s="11">
        <v>0</v>
      </c>
      <c r="O21" s="11">
        <v>0</v>
      </c>
      <c r="P21" s="11">
        <v>0</v>
      </c>
      <c r="Q21" s="11">
        <v>0</v>
      </c>
      <c r="R21" s="41">
        <f>SUM(N21:Q21)</f>
        <v>0</v>
      </c>
      <c r="S21" s="60" t="s">
        <v>259</v>
      </c>
      <c r="T21" s="41">
        <v>20</v>
      </c>
      <c r="U21" s="45" t="str">
        <f>IF(AND(N21=0,O21=0,P21=0,Q21=0),
"Personal Interview not attempted. Please ensure participation next time.",
IF(N21=0,
"Self Expression not attempted. Focus on articulating thoughts clearly.",
IF(N21&gt;=4,
"Outstanding Self Expression. ",
IF(N21&gt;=2,
"Good Self Expression. ",
"Needs improvement in Self Expression. "))) &amp;
IF(O21=0,
"Domain Knowledge not attempted. Focus on relevant topics.",
IF(O21&gt;=4,
"Outstanding performance in Domain Knowledge. ",
IF(O21&gt;=2,
"Good performance in Domain Knowledge. ",
"Needs improvement in Domain Knowledge. "))) &amp;
IF(P21=0,
"Thought Process not attempted. Work on organizing your thoughts.",
IF(P21&gt;=4,
"Outstanding Thought Process. ",
IF(P21&gt;=2,
"Good Thought Process. ",
"Needs improvement in Thought Process. "))) &amp;
IF(Q21=0,
"Problem Solving Skills not attempted. Focus on practice.",
IF(Q21&gt;=4,
"Outstanding Problem Solving Skills. ",
IF(Q21&gt;=2,
"Good Problem Solving Skills. ",
"Needs improvement in Problem Solving Skills. "))))</f>
        <v>Personal Interview not attempted. Please ensure participation next time.</v>
      </c>
      <c r="V21" s="43">
        <v>1</v>
      </c>
      <c r="W21" s="11">
        <v>1</v>
      </c>
      <c r="X21" s="3">
        <v>1</v>
      </c>
      <c r="Y21" s="87">
        <v>1</v>
      </c>
      <c r="Z21" s="3">
        <f>SUM(V21:Y21)</f>
        <v>4</v>
      </c>
      <c r="AA21" s="57">
        <v>4</v>
      </c>
      <c r="AB21" s="69">
        <v>20</v>
      </c>
      <c r="AC21" s="7" t="str">
        <f>IF(AND(V21=0,W21=0,X21=0,Y21=0),
"GD Round not attempted. Active participation is crucial.",
IF(V21=0,
"Participation not attempted. Engage more in discussions.",
IF(V21&gt;=4,
"Outstanding Participation. ",
IF(V21&gt;=2,
"Good Participation. ",
"Needs improvement in Participation. "))) &amp;
IF(W21=0,
"Communication not attempted. Focus on expressing ideas clearly.",
IF(W21&gt;=4,
"Outstanding Communication. ",
IF(W21&gt;=2,
"Good Communication. ",
"Needs improvement in Communication. "))) &amp;
IF(X21=0,
"Presence of Mind not attempted. Work on staying alert during discussions.",
IF(X21&gt;=4,
"Outstanding Presence of Mind. ",
IF(X21&gt;=2,
"Good Presence of Mind. ",
"Needs improvement in Presence of Mind. "))) &amp;
IF(Y21=0,
"Presentation not attempted. Enhance your presentation skills.",
IF(Y21&gt;=4,
"Outstanding Presentation. ",
IF(Y21&gt;=2,
"Good Presentation. ",
"Needs improvement in Presentation. "))))</f>
        <v xml:space="preserve">Needs improvement in Participation. Needs improvement in Communication. Needs improvement in Presence of Mind. Needs improvement in Presentation. </v>
      </c>
      <c r="AD21" s="43">
        <v>0</v>
      </c>
      <c r="AE21" s="11">
        <v>0</v>
      </c>
      <c r="AF21" s="82">
        <v>0</v>
      </c>
      <c r="AG21" s="5">
        <v>0</v>
      </c>
      <c r="AH21" s="19">
        <f>SUM(AD21:AG21)</f>
        <v>0</v>
      </c>
      <c r="AI21" s="73" t="s">
        <v>259</v>
      </c>
      <c r="AJ21" s="76">
        <v>20</v>
      </c>
      <c r="AK21" s="45" t="str">
        <f>IF(AND(AD21=0,AE21=0,AF21=0,AG21=0),
"HR Round not attempted. It's essential to participate in all assessments.",
IF(AD21=0,
"Values not attempted. Reflect on your core values.",
IF(AD21&gt;=4,
"Outstanding understanding of Values. ",
IF(AD21&gt;=2,
"Good understanding of Values. ",
"Needs improvement in understanding Values. "))) &amp;
IF(AE21=0,
"Career Goal not attempted. Define your career objectives clearly.",
IF(AE21&gt;=4,
"Outstanding clarity in Career Goals. ",
IF(AE21&gt;=2,
"Good clarity in Career Goals. ",
"Needs improvement in defining Career Goals. "))) &amp;
IF(AF21=0,
"Behavior Skills not attempted. Work on interpersonal skills.",
IF(AF21&gt;=4,
"Outstanding Behavior Skills. ",
IF(AF21&gt;=2,
"Good Behavior Skills. ",
"Needs improvement in Behavior Skills. "))) &amp;
IF(AG21=0,
"Role Fitment not attempted. Assess your fit for the role.",
IF(AG21&gt;=4,
"Outstanding Role Fitment. ",
IF(AG21&gt;=2,
"Good Role Fitment. ",
"Needs improvement in Role Fitment. "))))</f>
        <v>HR Round not attempted. It's essential to participate in all assessments.</v>
      </c>
      <c r="AL21" s="65">
        <f>SUM(J21,R21,Z21,AH21)</f>
        <v>33.65</v>
      </c>
      <c r="AM21" s="57">
        <v>33.65</v>
      </c>
      <c r="AN21" s="70">
        <v>150</v>
      </c>
      <c r="AO21" s="57">
        <v>80</v>
      </c>
      <c r="AP21" s="52" t="str">
        <f>IF(AND(J21=0,R21=0,Z21=0,AH21=0),
"No participation in any assessment. Please ensure participation in future evaluations.",
IF(J21=0,
"Online Assessment not attempted. Focus on improving basic skills.",
IF(J21&gt;=67.5,
"Outstanding performance in Online Assessment. ",
IF(J21&gt;=45,
"Good performance in Online Assessment. ",
"Needs improvement in Online Assessment. "))) &amp;
IF(R21=0,
"Personal Interview not attempted. Active engagement is essential.",
IF(R21&gt;=16,
"Outstanding performance in Personal Interview. ",
IF(R21&gt;=10,
"Good performance in Personal Interview. ",
"Needs improvement in Personal Interview. "))) &amp;
IF(Z21=0,
"GD Round not attempted. Active participation is crucial.",
IF(Z21&gt;=16,
"Outstanding performance in GD Round. ",
IF(Z21&gt;=10,
"Good performance in GD Round. ",
"Needs improvement in GD Round. "))) &amp;
IF(AH21=0,
"HR Round not attempted. Engage in the assessment process.",
IF(AH21&gt;=16,
"Outstanding performance in HR Round. ",
IF(AH21&gt;=10,
"Good performance in HR Round. ",
"Needs improvement in HR Round."))))</f>
        <v>Needs improvement in Online Assessment. Personal Interview not attempted. Active engagement is essential.Needs improvement in GD Round. HR Round not attempted. Engage in the assessment process.</v>
      </c>
    </row>
    <row r="22" spans="1:42" ht="13">
      <c r="A22">
        <v>19</v>
      </c>
      <c r="B22" s="39" t="s">
        <v>205</v>
      </c>
      <c r="C22" s="40" t="s">
        <v>206</v>
      </c>
      <c r="D22" s="40">
        <v>9888007000</v>
      </c>
      <c r="E22" s="7" t="s">
        <v>253</v>
      </c>
      <c r="F22" s="7"/>
      <c r="G22" s="7"/>
      <c r="H22" s="7">
        <v>11.35</v>
      </c>
      <c r="I22" s="7">
        <v>24</v>
      </c>
      <c r="J22" s="28">
        <f>SUM(H22:I22)</f>
        <v>35.35</v>
      </c>
      <c r="K22" s="56">
        <v>35.35</v>
      </c>
      <c r="L22" s="28">
        <v>90</v>
      </c>
      <c r="M22" s="28" t="str">
        <f>IF(H22=0,
"Aptitude section not attempted. ",
IF(H22&gt;=33.75,
"Outstanding performance in Aptitude. ",
IF(H22&gt;=22.5,
"Good performance in Aptitude. ",
"Needs improvement in Aptitude. "))) &amp;
IF(I22=0,
" General MBA Questions section not attempted. ",
IF(I22&gt;=33.75,
" Outstanding performance in General MBA Questions. ",
IF(I22&gt;=22.5,
" Good performance in General MBA Questions. ",
" Needs improvement in General MBA Questions. ")))</f>
        <v xml:space="preserve">Needs improvement in Aptitude.  Good performance in General MBA Questions. </v>
      </c>
      <c r="N22" s="11">
        <v>0</v>
      </c>
      <c r="O22" s="11">
        <v>0</v>
      </c>
      <c r="P22" s="11">
        <v>0</v>
      </c>
      <c r="Q22" s="11">
        <v>0</v>
      </c>
      <c r="R22" s="41">
        <f>SUM(N22:Q22)</f>
        <v>0</v>
      </c>
      <c r="S22" s="60" t="s">
        <v>259</v>
      </c>
      <c r="T22" s="41">
        <v>20</v>
      </c>
      <c r="U22" s="45" t="str">
        <f>IF(AND(N22=0,O22=0,P22=0,Q22=0),
"Personal Interview not attempted. Please ensure participation next time.",
IF(N22=0,
"Self Expression not attempted. Focus on articulating thoughts clearly.",
IF(N22&gt;=4,
"Outstanding Self Expression. ",
IF(N22&gt;=2,
"Good Self Expression. ",
"Needs improvement in Self Expression. "))) &amp;
IF(O22=0,
"Domain Knowledge not attempted. Focus on relevant topics.",
IF(O22&gt;=4,
"Outstanding performance in Domain Knowledge. ",
IF(O22&gt;=2,
"Good performance in Domain Knowledge. ",
"Needs improvement in Domain Knowledge. "))) &amp;
IF(P22=0,
"Thought Process not attempted. Work on organizing your thoughts.",
IF(P22&gt;=4,
"Outstanding Thought Process. ",
IF(P22&gt;=2,
"Good Thought Process. ",
"Needs improvement in Thought Process. "))) &amp;
IF(Q22=0,
"Problem Solving Skills not attempted. Focus on practice.",
IF(Q22&gt;=4,
"Outstanding Problem Solving Skills. ",
IF(Q22&gt;=2,
"Good Problem Solving Skills. ",
"Needs improvement in Problem Solving Skills. "))))</f>
        <v>Personal Interview not attempted. Please ensure participation next time.</v>
      </c>
      <c r="V22" s="43">
        <v>0</v>
      </c>
      <c r="W22" s="11">
        <v>0</v>
      </c>
      <c r="X22" s="3">
        <v>0</v>
      </c>
      <c r="Y22" s="87">
        <v>0</v>
      </c>
      <c r="Z22" s="3">
        <f>SUM(V22:Y22)</f>
        <v>0</v>
      </c>
      <c r="AA22" s="64" t="s">
        <v>259</v>
      </c>
      <c r="AB22" s="69">
        <v>20</v>
      </c>
      <c r="AC22" s="7" t="str">
        <f>IF(AND(V22=0,W22=0,X22=0,Y22=0),
"GD Round not attempted. Active participation is crucial.",
IF(V22=0,
"Participation not attempted. Engage more in discussions.",
IF(V22&gt;=4,
"Outstanding Participation. ",
IF(V22&gt;=2,
"Good Participation. ",
"Needs improvement in Participation. "))) &amp;
IF(W22=0,
"Communication not attempted. Focus on expressing ideas clearly.",
IF(W22&gt;=4,
"Outstanding Communication. ",
IF(W22&gt;=2,
"Good Communication. ",
"Needs improvement in Communication. "))) &amp;
IF(X22=0,
"Presence of Mind not attempted. Work on staying alert during discussions.",
IF(X22&gt;=4,
"Outstanding Presence of Mind. ",
IF(X22&gt;=2,
"Good Presence of Mind. ",
"Needs improvement in Presence of Mind. "))) &amp;
IF(Y22=0,
"Presentation not attempted. Enhance your presentation skills.",
IF(Y22&gt;=4,
"Outstanding Presentation. ",
IF(Y22&gt;=2,
"Good Presentation. ",
"Needs improvement in Presentation. "))))</f>
        <v>GD Round not attempted. Active participation is crucial.</v>
      </c>
      <c r="AD22" s="43">
        <v>0</v>
      </c>
      <c r="AE22" s="11">
        <v>0</v>
      </c>
      <c r="AF22" s="90">
        <v>0</v>
      </c>
      <c r="AG22" s="26">
        <v>0</v>
      </c>
      <c r="AH22" s="19">
        <f>SUM(AD22:AG22)</f>
        <v>0</v>
      </c>
      <c r="AI22" s="73" t="s">
        <v>259</v>
      </c>
      <c r="AJ22" s="76">
        <v>20</v>
      </c>
      <c r="AK22" s="45" t="str">
        <f>IF(AND(AD22=0,AE22=0,AF22=0,AG22=0),
"HR Round not attempted. It's essential to participate in all assessments.",
IF(AD22=0,
"Values not attempted. Reflect on your core values.",
IF(AD22&gt;=4,
"Outstanding understanding of Values. ",
IF(AD22&gt;=2,
"Good understanding of Values. ",
"Needs improvement in understanding Values. "))) &amp;
IF(AE22=0,
"Career Goal not attempted. Define your career objectives clearly.",
IF(AE22&gt;=4,
"Outstanding clarity in Career Goals. ",
IF(AE22&gt;=2,
"Good clarity in Career Goals. ",
"Needs improvement in defining Career Goals. "))) &amp;
IF(AF22=0,
"Behavior Skills not attempted. Work on interpersonal skills.",
IF(AF22&gt;=4,
"Outstanding Behavior Skills. ",
IF(AF22&gt;=2,
"Good Behavior Skills. ",
"Needs improvement in Behavior Skills. "))) &amp;
IF(AG22=0,
"Role Fitment not attempted. Assess your fit for the role.",
IF(AG22&gt;=4,
"Outstanding Role Fitment. ",
IF(AG22&gt;=2,
"Good Role Fitment. ",
"Needs improvement in Role Fitment. "))))</f>
        <v>HR Round not attempted. It's essential to participate in all assessments.</v>
      </c>
      <c r="AL22" s="65">
        <f>SUM(J22,R22,Z22,AH22)</f>
        <v>35.35</v>
      </c>
      <c r="AM22" s="57">
        <v>35.35</v>
      </c>
      <c r="AN22" s="70">
        <v>150</v>
      </c>
      <c r="AO22" s="57">
        <v>79</v>
      </c>
      <c r="AP22" s="52" t="str">
        <f>IF(AND(J22=0,R22=0,Z22=0,AH22=0),
"No participation in any assessment. Please ensure participation in future evaluations.",
IF(J22=0,
"Online Assessment not attempted. Focus on improving basic skills.",
IF(J22&gt;=67.5,
"Outstanding performance in Online Assessment. ",
IF(J22&gt;=45,
"Good performance in Online Assessment. ",
"Needs improvement in Online Assessment. "))) &amp;
IF(R22=0,
"Personal Interview not attempted. Active engagement is essential.",
IF(R22&gt;=16,
"Outstanding performance in Personal Interview. ",
IF(R22&gt;=10,
"Good performance in Personal Interview. ",
"Needs improvement in Personal Interview. "))) &amp;
IF(Z22=0,
"GD Round not attempted. Active participation is crucial.",
IF(Z22&gt;=16,
"Outstanding performance in GD Round. ",
IF(Z22&gt;=10,
"Good performance in GD Round. ",
"Needs improvement in GD Round. "))) &amp;
IF(AH22=0,
"HR Round not attempted. Engage in the assessment process.",
IF(AH22&gt;=16,
"Outstanding performance in HR Round. ",
IF(AH22&gt;=10,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23" spans="1:42" ht="13">
      <c r="A23">
        <v>20</v>
      </c>
      <c r="B23" s="39" t="s">
        <v>136</v>
      </c>
      <c r="C23" s="40" t="s">
        <v>137</v>
      </c>
      <c r="D23" s="40">
        <v>7620531452</v>
      </c>
      <c r="E23" s="7" t="s">
        <v>253</v>
      </c>
      <c r="F23" s="4"/>
      <c r="G23" s="4"/>
      <c r="H23" s="7">
        <v>7.45</v>
      </c>
      <c r="I23" s="7">
        <v>34</v>
      </c>
      <c r="J23" s="28">
        <f>SUM(H23:I23)</f>
        <v>41.45</v>
      </c>
      <c r="K23" s="56">
        <v>41.45</v>
      </c>
      <c r="L23" s="28">
        <v>90</v>
      </c>
      <c r="M23" s="28" t="str">
        <f>IF(H23=0,
"Aptitude section not attempted. ",
IF(H23&gt;=33.75,
"Outstanding performance in Aptitude. ",
IF(H23&gt;=22.5,
"Good performance in Aptitude. ",
"Needs improvement in Aptitude. "))) &amp;
IF(I23=0,
" General MBA Questions section not attempted. ",
IF(I23&gt;=33.75,
" Outstanding performance in General MBA Questions. ",
IF(I23&gt;=22.5,
" Good performance in General MBA Questions. ",
" Needs improvement in General MBA Questions. ")))</f>
        <v xml:space="preserve">Needs improvement in Aptitude.  Outstanding performance in General MBA Questions. </v>
      </c>
      <c r="N23" s="11">
        <v>2</v>
      </c>
      <c r="O23" s="11">
        <v>2</v>
      </c>
      <c r="P23" s="11">
        <v>2</v>
      </c>
      <c r="Q23" s="11">
        <v>2</v>
      </c>
      <c r="R23" s="41">
        <f>SUM(N23:Q23)</f>
        <v>8</v>
      </c>
      <c r="S23" s="60">
        <v>8</v>
      </c>
      <c r="T23" s="41">
        <v>20</v>
      </c>
      <c r="U23" s="45" t="str">
        <f>IF(AND(N23=0,O23=0,P23=0,Q23=0),
"Personal Interview not attempted. Please ensure participation next time.",
IF(N23=0,
"Self Expression not attempted. Focus on articulating thoughts clearly.",
IF(N23&gt;=4,
"Outstanding Self Expression. ",
IF(N23&gt;=2,
"Good Self Expression. ",
"Needs improvement in Self Expression. "))) &amp;
IF(O23=0,
"Domain Knowledge not attempted. Focus on relevant topics.",
IF(O23&gt;=4,
"Outstanding performance in Domain Knowledge. ",
IF(O23&gt;=2,
"Good performance in Domain Knowledge. ",
"Needs improvement in Domain Knowledge. "))) &amp;
IF(P23=0,
"Thought Process not attempted. Work on organizing your thoughts.",
IF(P23&gt;=4,
"Outstanding Thought Process. ",
IF(P23&gt;=2,
"Good Thought Process. ",
"Needs improvement in Thought Process. "))) &amp;
IF(Q23=0,
"Problem Solving Skills not attempted. Focus on practice.",
IF(Q23&gt;=4,
"Outstanding Problem Solving Skills. ",
IF(Q23&gt;=2,
"Good Problem Solving Skills. ",
"Needs improvement in Problem Solving Skills. "))))</f>
        <v xml:space="preserve">Good Self Expression. Good performance in Domain Knowledge. Good Thought Process. Good Problem Solving Skills. </v>
      </c>
      <c r="V23" s="43">
        <v>2</v>
      </c>
      <c r="W23" s="11">
        <v>3</v>
      </c>
      <c r="X23" s="3">
        <v>2</v>
      </c>
      <c r="Y23" s="87">
        <v>3</v>
      </c>
      <c r="Z23" s="3">
        <f>SUM(V23:Y23)</f>
        <v>10</v>
      </c>
      <c r="AA23" s="57">
        <v>10</v>
      </c>
      <c r="AB23" s="69">
        <v>20</v>
      </c>
      <c r="AC23" s="7" t="str">
        <f>IF(AND(V23=0,W23=0,X23=0,Y23=0),
"GD Round not attempted. Active participation is crucial.",
IF(V23=0,
"Participation not attempted. Engage more in discussions.",
IF(V23&gt;=4,
"Outstanding Participation. ",
IF(V23&gt;=2,
"Good Participation. ",
"Needs improvement in Participation. "))) &amp;
IF(W23=0,
"Communication not attempted. Focus on expressing ideas clearly.",
IF(W23&gt;=4,
"Outstanding Communication. ",
IF(W23&gt;=2,
"Good Communication. ",
"Needs improvement in Communication. "))) &amp;
IF(X23=0,
"Presence of Mind not attempted. Work on staying alert during discussions.",
IF(X23&gt;=4,
"Outstanding Presence of Mind. ",
IF(X23&gt;=2,
"Good Presence of Mind. ",
"Needs improvement in Presence of Mind. "))) &amp;
IF(Y23=0,
"Presentation not attempted. Enhance your presentation skills.",
IF(Y23&gt;=4,
"Outstanding Presentation. ",
IF(Y23&gt;=2,
"Good Presentation. ",
"Needs improvement in Presentation. "))))</f>
        <v xml:space="preserve">Good Participation. Good Communication. Good Presence of Mind. Good Presentation. </v>
      </c>
      <c r="AD23" s="43">
        <v>0</v>
      </c>
      <c r="AE23" s="11">
        <v>0</v>
      </c>
      <c r="AF23" s="90">
        <v>0</v>
      </c>
      <c r="AG23" s="26">
        <v>0</v>
      </c>
      <c r="AH23" s="19">
        <f>SUM(AD23:AG23)</f>
        <v>0</v>
      </c>
      <c r="AI23" s="73" t="s">
        <v>259</v>
      </c>
      <c r="AJ23" s="76">
        <v>20</v>
      </c>
      <c r="AK23" s="45" t="str">
        <f>IF(AND(AD23=0,AE23=0,AF23=0,AG23=0),
"HR Round not attempted. It's essential to participate in all assessments.",
IF(AD23=0,
"Values not attempted. Reflect on your core values.",
IF(AD23&gt;=4,
"Outstanding understanding of Values. ",
IF(AD23&gt;=2,
"Good understanding of Values. ",
"Needs improvement in understanding Values. "))) &amp;
IF(AE23=0,
"Career Goal not attempted. Define your career objectives clearly.",
IF(AE23&gt;=4,
"Outstanding clarity in Career Goals. ",
IF(AE23&gt;=2,
"Good clarity in Career Goals. ",
"Needs improvement in defining Career Goals. "))) &amp;
IF(AF23=0,
"Behavior Skills not attempted. Work on interpersonal skills.",
IF(AF23&gt;=4,
"Outstanding Behavior Skills. ",
IF(AF23&gt;=2,
"Good Behavior Skills. ",
"Needs improvement in Behavior Skills. "))) &amp;
IF(AG23=0,
"Role Fitment not attempted. Assess your fit for the role.",
IF(AG23&gt;=4,
"Outstanding Role Fitment. ",
IF(AG23&gt;=2,
"Good Role Fitment. ",
"Needs improvement in Role Fitment. "))))</f>
        <v>HR Round not attempted. It's essential to participate in all assessments.</v>
      </c>
      <c r="AL23" s="65">
        <f>SUM(J23,R23,Z23,AH23)</f>
        <v>59.45</v>
      </c>
      <c r="AM23" s="57">
        <v>59.45</v>
      </c>
      <c r="AN23" s="70">
        <v>150</v>
      </c>
      <c r="AO23" s="57">
        <v>36</v>
      </c>
      <c r="AP23" s="52" t="str">
        <f>IF(AND(J23=0,R23=0,Z23=0,AH23=0),
"No participation in any assessment. Please ensure participation in future evaluations.",
IF(J23=0,
"Online Assessment not attempted. Focus on improving basic skills.",
IF(J23&gt;=67.5,
"Outstanding performance in Online Assessment. ",
IF(J23&gt;=45,
"Good performance in Online Assessment. ",
"Needs improvement in Online Assessment. "))) &amp;
IF(R23=0,
"Personal Interview not attempted. Active engagement is essential.",
IF(R23&gt;=16,
"Outstanding performance in Personal Interview. ",
IF(R23&gt;=10,
"Good performance in Personal Interview. ",
"Needs improvement in Personal Interview. "))) &amp;
IF(Z23=0,
"GD Round not attempted. Active participation is crucial.",
IF(Z23&gt;=16,
"Outstanding performance in GD Round. ",
IF(Z23&gt;=10,
"Good performance in GD Round. ",
"Needs improvement in GD Round. "))) &amp;
IF(AH23=0,
"HR Round not attempted. Engage in the assessment process.",
IF(AH23&gt;=16,
"Outstanding performance in HR Round. ",
IF(AH23&gt;=10,
"Good performance in HR Round. ",
"Needs improvement in HR Round."))))</f>
        <v>Needs improvement in Online Assessment. Needs improvement in Personal Interview. Good performance in GD Round. HR Round not attempted. Engage in the assessment process.</v>
      </c>
    </row>
    <row r="24" spans="1:42" ht="13">
      <c r="A24">
        <v>21</v>
      </c>
      <c r="B24" s="39" t="s">
        <v>126</v>
      </c>
      <c r="C24" s="40" t="s">
        <v>127</v>
      </c>
      <c r="D24" s="40">
        <v>9817833066</v>
      </c>
      <c r="E24" s="7" t="s">
        <v>253</v>
      </c>
      <c r="F24" s="6"/>
      <c r="G24" s="6"/>
      <c r="H24" s="7">
        <v>5</v>
      </c>
      <c r="I24" s="7">
        <v>25</v>
      </c>
      <c r="J24" s="28">
        <f>SUM(H24:I24)</f>
        <v>30</v>
      </c>
      <c r="K24" s="56">
        <v>30</v>
      </c>
      <c r="L24" s="28">
        <v>90</v>
      </c>
      <c r="M24" s="28" t="str">
        <f>IF(H24=0,
"Aptitude section not attempted. ",
IF(H24&gt;=33.75,
"Outstanding performance in Aptitude. ",
IF(H24&gt;=22.5,
"Good performance in Aptitude. ",
"Needs improvement in Aptitude. "))) &amp;
IF(I24=0,
" General MBA Questions section not attempted. ",
IF(I24&gt;=33.75,
" Outstanding performance in General MBA Questions. ",
IF(I24&gt;=22.5,
" Good performance in General MBA Questions. ",
" Needs improvement in General MBA Questions. ")))</f>
        <v xml:space="preserve">Needs improvement in Aptitude.  Good performance in General MBA Questions. </v>
      </c>
      <c r="N24" s="11">
        <v>3</v>
      </c>
      <c r="O24" s="11">
        <v>2</v>
      </c>
      <c r="P24" s="11">
        <v>2</v>
      </c>
      <c r="Q24" s="11">
        <v>2</v>
      </c>
      <c r="R24" s="41">
        <f>SUM(N24:Q24)</f>
        <v>9</v>
      </c>
      <c r="S24" s="60">
        <v>9</v>
      </c>
      <c r="T24" s="41">
        <v>20</v>
      </c>
      <c r="U24" s="45" t="str">
        <f>IF(AND(N24=0,O24=0,P24=0,Q24=0),
"Personal Interview not attempted. Please ensure participation next time.",
IF(N24=0,
"Self Expression not attempted. Focus on articulating thoughts clearly.",
IF(N24&gt;=4,
"Outstanding Self Expression. ",
IF(N24&gt;=2,
"Good Self Expression. ",
"Needs improvement in Self Expression. "))) &amp;
IF(O24=0,
"Domain Knowledge not attempted. Focus on relevant topics.",
IF(O24&gt;=4,
"Outstanding performance in Domain Knowledge. ",
IF(O24&gt;=2,
"Good performance in Domain Knowledge. ",
"Needs improvement in Domain Knowledge. "))) &amp;
IF(P24=0,
"Thought Process not attempted. Work on organizing your thoughts.",
IF(P24&gt;=4,
"Outstanding Thought Process. ",
IF(P24&gt;=2,
"Good Thought Process. ",
"Needs improvement in Thought Process. "))) &amp;
IF(Q24=0,
"Problem Solving Skills not attempted. Focus on practice.",
IF(Q24&gt;=4,
"Outstanding Problem Solving Skills. ",
IF(Q24&gt;=2,
"Good Problem Solving Skills. ",
"Needs improvement in Problem Solving Skills. "))))</f>
        <v xml:space="preserve">Good Self Expression. Good performance in Domain Knowledge. Good Thought Process. Good Problem Solving Skills. </v>
      </c>
      <c r="V24" s="43">
        <v>3</v>
      </c>
      <c r="W24" s="11">
        <v>3</v>
      </c>
      <c r="X24" s="3">
        <v>2</v>
      </c>
      <c r="Y24">
        <v>3</v>
      </c>
      <c r="Z24" s="3">
        <f>SUM(V24:Y24)</f>
        <v>11</v>
      </c>
      <c r="AA24" s="57">
        <v>11</v>
      </c>
      <c r="AB24" s="69">
        <v>20</v>
      </c>
      <c r="AC24" s="7" t="str">
        <f>IF(AND(V24=0,W24=0,X24=0,Y24=0),
"GD Round not attempted. Active participation is crucial.",
IF(V24=0,
"Participation not attempted. Engage more in discussions.",
IF(V24&gt;=4,
"Outstanding Participation. ",
IF(V24&gt;=2,
"Good Participation. ",
"Needs improvement in Participation. "))) &amp;
IF(W24=0,
"Communication not attempted. Focus on expressing ideas clearly.",
IF(W24&gt;=4,
"Outstanding Communication. ",
IF(W24&gt;=2,
"Good Communication. ",
"Needs improvement in Communication. "))) &amp;
IF(X24=0,
"Presence of Mind not attempted. Work on staying alert during discussions.",
IF(X24&gt;=4,
"Outstanding Presence of Mind. ",
IF(X24&gt;=2,
"Good Presence of Mind. ",
"Needs improvement in Presence of Mind. "))) &amp;
IF(Y24=0,
"Presentation not attempted. Enhance your presentation skills.",
IF(Y24&gt;=4,
"Outstanding Presentation. ",
IF(Y24&gt;=2,
"Good Presentation. ",
"Needs improvement in Presentation. "))))</f>
        <v xml:space="preserve">Good Participation. Good Communication. Good Presence of Mind. Good Presentation. </v>
      </c>
      <c r="AD24" s="43">
        <v>0</v>
      </c>
      <c r="AE24" s="11">
        <v>0</v>
      </c>
      <c r="AF24" s="90">
        <v>0</v>
      </c>
      <c r="AG24" s="26">
        <v>0</v>
      </c>
      <c r="AH24" s="19">
        <f>SUM(AD24:AG24)</f>
        <v>0</v>
      </c>
      <c r="AI24" s="73" t="s">
        <v>259</v>
      </c>
      <c r="AJ24" s="76">
        <v>20</v>
      </c>
      <c r="AK24" s="45" t="str">
        <f>IF(AND(AD24=0,AE24=0,AF24=0,AG24=0),
"HR Round not attempted. It's essential to participate in all assessments.",
IF(AD24=0,
"Values not attempted. Reflect on your core values.",
IF(AD24&gt;=4,
"Outstanding understanding of Values. ",
IF(AD24&gt;=2,
"Good understanding of Values. ",
"Needs improvement in understanding Values. "))) &amp;
IF(AE24=0,
"Career Goal not attempted. Define your career objectives clearly.",
IF(AE24&gt;=4,
"Outstanding clarity in Career Goals. ",
IF(AE24&gt;=2,
"Good clarity in Career Goals. ",
"Needs improvement in defining Career Goals. "))) &amp;
IF(AF24=0,
"Behavior Skills not attempted. Work on interpersonal skills.",
IF(AF24&gt;=4,
"Outstanding Behavior Skills. ",
IF(AF24&gt;=2,
"Good Behavior Skills. ",
"Needs improvement in Behavior Skills. "))) &amp;
IF(AG24=0,
"Role Fitment not attempted. Assess your fit for the role.",
IF(AG24&gt;=4,
"Outstanding Role Fitment. ",
IF(AG24&gt;=2,
"Good Role Fitment. ",
"Needs improvement in Role Fitment. "))))</f>
        <v>HR Round not attempted. It's essential to participate in all assessments.</v>
      </c>
      <c r="AL24" s="65">
        <f>SUM(J24,R24,Z24,AH24)</f>
        <v>50</v>
      </c>
      <c r="AM24" s="57">
        <v>50</v>
      </c>
      <c r="AN24" s="70">
        <v>150</v>
      </c>
      <c r="AO24" s="57">
        <v>56</v>
      </c>
      <c r="AP24" s="52" t="str">
        <f>IF(AND(J24=0,R24=0,Z24=0,AH24=0),
"No participation in any assessment. Please ensure participation in future evaluations.",
IF(J24=0,
"Online Assessment not attempted. Focus on improving basic skills.",
IF(J24&gt;=67.5,
"Outstanding performance in Online Assessment. ",
IF(J24&gt;=45,
"Good performance in Online Assessment. ",
"Needs improvement in Online Assessment. "))) &amp;
IF(R24=0,
"Personal Interview not attempted. Active engagement is essential.",
IF(R24&gt;=16,
"Outstanding performance in Personal Interview. ",
IF(R24&gt;=10,
"Good performance in Personal Interview. ",
"Needs improvement in Personal Interview. "))) &amp;
IF(Z24=0,
"GD Round not attempted. Active participation is crucial.",
IF(Z24&gt;=16,
"Outstanding performance in GD Round. ",
IF(Z24&gt;=10,
"Good performance in GD Round. ",
"Needs improvement in GD Round. "))) &amp;
IF(AH24=0,
"HR Round not attempted. Engage in the assessment process.",
IF(AH24&gt;=16,
"Outstanding performance in HR Round. ",
IF(AH24&gt;=10,
"Good performance in HR Round. ",
"Needs improvement in HR Round."))))</f>
        <v>Needs improvement in Online Assessment. Needs improvement in Personal Interview. Good performance in GD Round. HR Round not attempted. Engage in the assessment process.</v>
      </c>
    </row>
    <row r="25" spans="1:42" ht="13">
      <c r="A25">
        <v>22</v>
      </c>
      <c r="B25" s="39" t="s">
        <v>167</v>
      </c>
      <c r="C25" s="40" t="s">
        <v>168</v>
      </c>
      <c r="D25" s="40">
        <v>8264158001</v>
      </c>
      <c r="E25" s="7" t="s">
        <v>253</v>
      </c>
      <c r="F25" s="7"/>
      <c r="G25" s="7"/>
      <c r="H25" s="7">
        <v>10.45</v>
      </c>
      <c r="I25" s="7">
        <v>27</v>
      </c>
      <c r="J25" s="28">
        <f>SUM(H25:I25)</f>
        <v>37.450000000000003</v>
      </c>
      <c r="K25" s="56">
        <v>37.450000000000003</v>
      </c>
      <c r="L25" s="28">
        <v>90</v>
      </c>
      <c r="M25" s="28" t="str">
        <f>IF(H25=0,
"Aptitude section not attempted. ",
IF(H25&gt;=33.75,
"Outstanding performance in Aptitude. ",
IF(H25&gt;=22.5,
"Good performance in Aptitude. ",
"Needs improvement in Aptitude. "))) &amp;
IF(I25=0,
" General MBA Questions section not attempted. ",
IF(I25&gt;=33.75,
" Outstanding performance in General MBA Questions. ",
IF(I25&gt;=22.5,
" Good performance in General MBA Questions. ",
" Needs improvement in General MBA Questions. ")))</f>
        <v xml:space="preserve">Needs improvement in Aptitude.  Good performance in General MBA Questions. </v>
      </c>
      <c r="N25" s="11">
        <v>0</v>
      </c>
      <c r="O25" s="11">
        <v>0</v>
      </c>
      <c r="P25" s="11">
        <v>0</v>
      </c>
      <c r="Q25" s="11">
        <v>0</v>
      </c>
      <c r="R25" s="41">
        <f>SUM(N25:Q25)</f>
        <v>0</v>
      </c>
      <c r="S25" s="60" t="s">
        <v>259</v>
      </c>
      <c r="T25" s="41">
        <v>20</v>
      </c>
      <c r="U25" s="45" t="str">
        <f>IF(AND(N25=0,O25=0,P25=0,Q25=0),
"Personal Interview not attempted. Please ensure participation next time.",
IF(N25=0,
"Self Expression not attempted. Focus on articulating thoughts clearly.",
IF(N25&gt;=4,
"Outstanding Self Expression. ",
IF(N25&gt;=2,
"Good Self Expression. ",
"Needs improvement in Self Expression. "))) &amp;
IF(O25=0,
"Domain Knowledge not attempted. Focus on relevant topics.",
IF(O25&gt;=4,
"Outstanding performance in Domain Knowledge. ",
IF(O25&gt;=2,
"Good performance in Domain Knowledge. ",
"Needs improvement in Domain Knowledge. "))) &amp;
IF(P25=0,
"Thought Process not attempted. Work on organizing your thoughts.",
IF(P25&gt;=4,
"Outstanding Thought Process. ",
IF(P25&gt;=2,
"Good Thought Process. ",
"Needs improvement in Thought Process. "))) &amp;
IF(Q25=0,
"Problem Solving Skills not attempted. Focus on practice.",
IF(Q25&gt;=4,
"Outstanding Problem Solving Skills. ",
IF(Q25&gt;=2,
"Good Problem Solving Skills. ",
"Needs improvement in Problem Solving Skills. "))))</f>
        <v>Personal Interview not attempted. Please ensure participation next time.</v>
      </c>
      <c r="V25" s="43">
        <v>2</v>
      </c>
      <c r="W25" s="11">
        <v>2</v>
      </c>
      <c r="X25" s="3">
        <v>2</v>
      </c>
      <c r="Y25">
        <v>2</v>
      </c>
      <c r="Z25" s="3">
        <f>SUM(V25:Y25)</f>
        <v>8</v>
      </c>
      <c r="AA25" s="57">
        <v>8</v>
      </c>
      <c r="AB25" s="69">
        <v>20</v>
      </c>
      <c r="AC25" s="7" t="str">
        <f>IF(AND(V25=0,W25=0,X25=0,Y25=0),
"GD Round not attempted. Active participation is crucial.",
IF(V25=0,
"Participation not attempted. Engage more in discussions.",
IF(V25&gt;=4,
"Outstanding Participation. ",
IF(V25&gt;=2,
"Good Participation. ",
"Needs improvement in Participation. "))) &amp;
IF(W25=0,
"Communication not attempted. Focus on expressing ideas clearly.",
IF(W25&gt;=4,
"Outstanding Communication. ",
IF(W25&gt;=2,
"Good Communication. ",
"Needs improvement in Communication. "))) &amp;
IF(X25=0,
"Presence of Mind not attempted. Work on staying alert during discussions.",
IF(X25&gt;=4,
"Outstanding Presence of Mind. ",
IF(X25&gt;=2,
"Good Presence of Mind. ",
"Needs improvement in Presence of Mind. "))) &amp;
IF(Y25=0,
"Presentation not attempted. Enhance your presentation skills.",
IF(Y25&gt;=4,
"Outstanding Presentation. ",
IF(Y25&gt;=2,
"Good Presentation. ",
"Needs improvement in Presentation. "))))</f>
        <v xml:space="preserve">Good Participation. Good Communication. Good Presence of Mind. Good Presentation. </v>
      </c>
      <c r="AD25" s="46">
        <v>1</v>
      </c>
      <c r="AE25" s="7">
        <v>0</v>
      </c>
      <c r="AF25">
        <v>2</v>
      </c>
      <c r="AG25" s="26">
        <v>0</v>
      </c>
      <c r="AH25" s="19">
        <f>SUM(AD25:AG25)</f>
        <v>3</v>
      </c>
      <c r="AI25" s="73">
        <v>3</v>
      </c>
      <c r="AJ25" s="76">
        <v>20</v>
      </c>
      <c r="AK25" s="45" t="str">
        <f>IF(AND(AD25=0,AE25=0,AF25=0,AG25=0),
"HR Round not attempted. It's essential to participate in all assessments.",
IF(AD25=0,
"Values not attempted. Reflect on your core values.",
IF(AD25&gt;=4,
"Outstanding understanding of Values. ",
IF(AD25&gt;=2,
"Good understanding of Values. ",
"Needs improvement in understanding Values. "))) &amp;
IF(AE25=0,
"Career Goal not attempted. Define your career objectives clearly.",
IF(AE25&gt;=4,
"Outstanding clarity in Career Goals. ",
IF(AE25&gt;=2,
"Good clarity in Career Goals. ",
"Needs improvement in defining Career Goals. "))) &amp;
IF(AF25=0,
"Behavior Skills not attempted. Work on interpersonal skills.",
IF(AF25&gt;=4,
"Outstanding Behavior Skills. ",
IF(AF25&gt;=2,
"Good Behavior Skills. ",
"Needs improvement in Behavior Skills. "))) &amp;
IF(AG25=0,
"Role Fitment not attempted. Assess your fit for the role.",
IF(AG25&gt;=4,
"Outstanding Role Fitment. ",
IF(AG25&gt;=2,
"Good Role Fitment. ",
"Needs improvement in Role Fitment. "))))</f>
        <v>Needs improvement in understanding Values. Career Goal not attempted. Define your career objectives clearly.Good Behavior Skills. Role Fitment not attempted. Assess your fit for the role.</v>
      </c>
      <c r="AL25" s="65">
        <f>SUM(J25,R25,Z25,AH25)</f>
        <v>48.45</v>
      </c>
      <c r="AM25" s="57">
        <v>48.45</v>
      </c>
      <c r="AN25" s="70">
        <v>150</v>
      </c>
      <c r="AO25" s="57">
        <v>61</v>
      </c>
      <c r="AP25" s="52" t="str">
        <f>IF(AND(J25=0,R25=0,Z25=0,AH25=0),
"No participation in any assessment. Please ensure participation in future evaluations.",
IF(J25=0,
"Online Assessment not attempted. Focus on improving basic skills.",
IF(J25&gt;=67.5,
"Outstanding performance in Online Assessment. ",
IF(J25&gt;=45,
"Good performance in Online Assessment. ",
"Needs improvement in Online Assessment. "))) &amp;
IF(R25=0,
"Personal Interview not attempted. Active engagement is essential.",
IF(R25&gt;=16,
"Outstanding performance in Personal Interview. ",
IF(R25&gt;=10,
"Good performance in Personal Interview. ",
"Needs improvement in Personal Interview. "))) &amp;
IF(Z25=0,
"GD Round not attempted. Active participation is crucial.",
IF(Z25&gt;=16,
"Outstanding performance in GD Round. ",
IF(Z25&gt;=10,
"Good performance in GD Round. ",
"Needs improvement in GD Round. "))) &amp;
IF(AH25=0,
"HR Round not attempted. Engage in the assessment process.",
IF(AH25&gt;=16,
"Outstanding performance in HR Round. ",
IF(AH25&gt;=10,
"Good performance in HR Round. ",
"Needs improvement in HR Round."))))</f>
        <v>Needs improvement in Online Assessment. Personal Interview not attempted. Active engagement is essential.Needs improvement in GD Round. Needs improvement in HR Round.</v>
      </c>
    </row>
    <row r="26" spans="1:42" ht="13">
      <c r="A26">
        <v>23</v>
      </c>
      <c r="B26" s="39" t="s">
        <v>39</v>
      </c>
      <c r="C26" s="40" t="s">
        <v>40</v>
      </c>
      <c r="D26" s="40">
        <v>8727908469</v>
      </c>
      <c r="E26" s="7" t="s">
        <v>253</v>
      </c>
      <c r="F26" s="6"/>
      <c r="G26" s="6"/>
      <c r="H26" s="7">
        <v>11.7</v>
      </c>
      <c r="I26" s="7">
        <v>25</v>
      </c>
      <c r="J26" s="28">
        <f>SUM(H26:I26)</f>
        <v>36.700000000000003</v>
      </c>
      <c r="K26" s="56">
        <v>36.700000000000003</v>
      </c>
      <c r="L26" s="28">
        <v>90</v>
      </c>
      <c r="M26" s="28" t="str">
        <f>IF(H26=0,
"Aptitude section not attempted. ",
IF(H26&gt;=33.75,
"Outstanding performance in Aptitude. ",
IF(H26&gt;=22.5,
"Good performance in Aptitude. ",
"Needs improvement in Aptitude. "))) &amp;
IF(I26=0,
" General MBA Questions section not attempted. ",
IF(I26&gt;=33.75,
" Outstanding performance in General MBA Questions. ",
IF(I26&gt;=22.5,
" Good performance in General MBA Questions. ",
" Needs improvement in General MBA Questions. ")))</f>
        <v xml:space="preserve">Needs improvement in Aptitude.  Good performance in General MBA Questions. </v>
      </c>
      <c r="N26" s="11">
        <v>2</v>
      </c>
      <c r="O26" s="11">
        <v>1</v>
      </c>
      <c r="P26" s="11">
        <v>3</v>
      </c>
      <c r="Q26" s="11">
        <v>2</v>
      </c>
      <c r="R26" s="41">
        <f>SUM(N26:Q26)</f>
        <v>8</v>
      </c>
      <c r="S26" s="60">
        <v>8</v>
      </c>
      <c r="T26" s="41">
        <v>20</v>
      </c>
      <c r="U26" s="45" t="str">
        <f>IF(AND(N26=0,O26=0,P26=0,Q26=0),
"Personal Interview not attempted. Please ensure participation next time.",
IF(N26=0,
"Self Expression not attempted. Focus on articulating thoughts clearly.",
IF(N26&gt;=4,
"Outstanding Self Expression. ",
IF(N26&gt;=2,
"Good Self Expression. ",
"Needs improvement in Self Expression. "))) &amp;
IF(O26=0,
"Domain Knowledge not attempted. Focus on relevant topics.",
IF(O26&gt;=4,
"Outstanding performance in Domain Knowledge. ",
IF(O26&gt;=2,
"Good performance in Domain Knowledge. ",
"Needs improvement in Domain Knowledge. "))) &amp;
IF(P26=0,
"Thought Process not attempted. Work on organizing your thoughts.",
IF(P26&gt;=4,
"Outstanding Thought Process. ",
IF(P26&gt;=2,
"Good Thought Process. ",
"Needs improvement in Thought Process. "))) &amp;
IF(Q26=0,
"Problem Solving Skills not attempted. Focus on practice.",
IF(Q26&gt;=4,
"Outstanding Problem Solving Skills. ",
IF(Q26&gt;=2,
"Good Problem Solving Skills. ",
"Needs improvement in Problem Solving Skills. "))))</f>
        <v xml:space="preserve">Good Self Expression. Needs improvement in Domain Knowledge. Good Thought Process. Good Problem Solving Skills. </v>
      </c>
      <c r="V26" s="43">
        <v>4</v>
      </c>
      <c r="W26" s="11">
        <v>3</v>
      </c>
      <c r="X26" s="3">
        <v>4</v>
      </c>
      <c r="Y26">
        <v>2</v>
      </c>
      <c r="Z26" s="3">
        <f>SUM(V26:Y26)</f>
        <v>13</v>
      </c>
      <c r="AA26" s="57">
        <v>13</v>
      </c>
      <c r="AB26" s="69">
        <v>20</v>
      </c>
      <c r="AC26" s="7" t="str">
        <f>IF(AND(V26=0,W26=0,X26=0,Y26=0),
"GD Round not attempted. Active participation is crucial.",
IF(V26=0,
"Participation not attempted. Engage more in discussions.",
IF(V26&gt;=4,
"Outstanding Participation. ",
IF(V26&gt;=2,
"Good Participation. ",
"Needs improvement in Participation. "))) &amp;
IF(W26=0,
"Communication not attempted. Focus on expressing ideas clearly.",
IF(W26&gt;=4,
"Outstanding Communication. ",
IF(W26&gt;=2,
"Good Communication. ",
"Needs improvement in Communication. "))) &amp;
IF(X26=0,
"Presence of Mind not attempted. Work on staying alert during discussions.",
IF(X26&gt;=4,
"Outstanding Presence of Mind. ",
IF(X26&gt;=2,
"Good Presence of Mind. ",
"Needs improvement in Presence of Mind. "))) &amp;
IF(Y26=0,
"Presentation not attempted. Enhance your presentation skills.",
IF(Y26&gt;=4,
"Outstanding Presentation. ",
IF(Y26&gt;=2,
"Good Presentation. ",
"Needs improvement in Presentation. "))))</f>
        <v xml:space="preserve">Outstanding Participation. Good Communication. Outstanding Presence of Mind. Good Presentation. </v>
      </c>
      <c r="AD26" s="43">
        <v>4</v>
      </c>
      <c r="AE26" s="11">
        <v>3</v>
      </c>
      <c r="AF26" s="11">
        <v>4</v>
      </c>
      <c r="AG26" s="10">
        <v>2</v>
      </c>
      <c r="AH26" s="19">
        <f>SUM(AD26:AG26)</f>
        <v>13</v>
      </c>
      <c r="AI26" s="73">
        <v>13</v>
      </c>
      <c r="AJ26" s="76">
        <v>20</v>
      </c>
      <c r="AK26" s="45" t="str">
        <f>IF(AND(AD26=0,AE26=0,AF26=0,AG26=0),
"HR Round not attempted. It's essential to participate in all assessments.",
IF(AD26=0,
"Values not attempted. Reflect on your core values.",
IF(AD26&gt;=4,
"Outstanding understanding of Values. ",
IF(AD26&gt;=2,
"Good understanding of Values. ",
"Needs improvement in understanding Values. "))) &amp;
IF(AE26=0,
"Career Goal not attempted. Define your career objectives clearly.",
IF(AE26&gt;=4,
"Outstanding clarity in Career Goals. ",
IF(AE26&gt;=2,
"Good clarity in Career Goals. ",
"Needs improvement in defining Career Goals. "))) &amp;
IF(AF26=0,
"Behavior Skills not attempted. Work on interpersonal skills.",
IF(AF26&gt;=4,
"Outstanding Behavior Skills. ",
IF(AF26&gt;=2,
"Good Behavior Skills. ",
"Needs improvement in Behavior Skills. "))) &amp;
IF(AG26=0,
"Role Fitment not attempted. Assess your fit for the role.",
IF(AG26&gt;=4,
"Outstanding Role Fitment. ",
IF(AG26&gt;=2,
"Good Role Fitment. ",
"Needs improvement in Role Fitment. "))))</f>
        <v xml:space="preserve">Outstanding understanding of Values. Good clarity in Career Goals. Outstanding Behavior Skills. Good Role Fitment. </v>
      </c>
      <c r="AL26" s="65">
        <f>SUM(J26,R26,Z26,AH26)</f>
        <v>70.7</v>
      </c>
      <c r="AM26" s="57">
        <v>70.7</v>
      </c>
      <c r="AN26" s="70">
        <v>150</v>
      </c>
      <c r="AO26" s="57">
        <v>16</v>
      </c>
      <c r="AP26" s="52" t="str">
        <f>IF(AND(J26=0,R26=0,Z26=0,AH26=0),
"No participation in any assessment. Please ensure participation in future evaluations.",
IF(J26=0,
"Online Assessment not attempted. Focus on improving basic skills.",
IF(J26&gt;=67.5,
"Outstanding performance in Online Assessment. ",
IF(J26&gt;=45,
"Good performance in Online Assessment. ",
"Needs improvement in Online Assessment. "))) &amp;
IF(R26=0,
"Personal Interview not attempted. Active engagement is essential.",
IF(R26&gt;=16,
"Outstanding performance in Personal Interview. ",
IF(R26&gt;=10,
"Good performance in Personal Interview. ",
"Needs improvement in Personal Interview. "))) &amp;
IF(Z26=0,
"GD Round not attempted. Active participation is crucial.",
IF(Z26&gt;=16,
"Outstanding performance in GD Round. ",
IF(Z26&gt;=10,
"Good performance in GD Round. ",
"Needs improvement in GD Round. "))) &amp;
IF(AH26=0,
"HR Round not attempted. Engage in the assessment process.",
IF(AH26&gt;=16,
"Outstanding performance in HR Round. ",
IF(AH26&gt;=10,
"Good performance in HR Round. ",
"Needs improvement in HR Round."))))</f>
        <v xml:space="preserve">Needs improvement in Online Assessment. Needs improvement in Personal Interview. Good performance in GD Round. Good performance in HR Round. </v>
      </c>
    </row>
    <row r="27" spans="1:42" ht="13">
      <c r="A27">
        <v>24</v>
      </c>
      <c r="B27" s="39" t="s">
        <v>86</v>
      </c>
      <c r="C27" s="40" t="s">
        <v>87</v>
      </c>
      <c r="D27" s="40">
        <v>6280196295</v>
      </c>
      <c r="E27" s="7" t="s">
        <v>253</v>
      </c>
      <c r="F27" s="4"/>
      <c r="G27" s="4"/>
      <c r="H27" s="7">
        <v>3</v>
      </c>
      <c r="I27" s="7">
        <v>3</v>
      </c>
      <c r="J27" s="28">
        <f>SUM(H27:I27)</f>
        <v>6</v>
      </c>
      <c r="K27" s="56">
        <v>6</v>
      </c>
      <c r="L27" s="28">
        <v>90</v>
      </c>
      <c r="M27" s="28" t="str">
        <f>IF(H27=0,
"Aptitude section not attempted. ",
IF(H27&gt;=33.75,
"Outstanding performance in Aptitude. ",
IF(H27&gt;=22.5,
"Good performance in Aptitude. ",
"Needs improvement in Aptitude. "))) &amp;
IF(I27=0,
" General MBA Questions section not attempted. ",
IF(I27&gt;=33.75,
" Outstanding performance in General MBA Questions. ",
IF(I27&gt;=22.5,
" Good performance in General MBA Questions. ",
" Needs improvement in General MBA Questions. ")))</f>
        <v xml:space="preserve">Needs improvement in Aptitude.  Needs improvement in General MBA Questions. </v>
      </c>
      <c r="N27" s="11">
        <v>0</v>
      </c>
      <c r="O27" s="11">
        <v>0</v>
      </c>
      <c r="P27" s="11">
        <v>0</v>
      </c>
      <c r="Q27" s="11">
        <v>0</v>
      </c>
      <c r="R27" s="41">
        <f>SUM(N27:Q27)</f>
        <v>0</v>
      </c>
      <c r="S27" s="60" t="s">
        <v>259</v>
      </c>
      <c r="T27" s="41">
        <v>20</v>
      </c>
      <c r="U27" s="45" t="str">
        <f>IF(AND(N27=0,O27=0,P27=0,Q27=0),
"Personal Interview not attempted. Please ensure participation next time.",
IF(N27=0,
"Self Expression not attempted. Focus on articulating thoughts clearly.",
IF(N27&gt;=4,
"Outstanding Self Expression. ",
IF(N27&gt;=2,
"Good Self Expression. ",
"Needs improvement in Self Expression. "))) &amp;
IF(O27=0,
"Domain Knowledge not attempted. Focus on relevant topics.",
IF(O27&gt;=4,
"Outstanding performance in Domain Knowledge. ",
IF(O27&gt;=2,
"Good performance in Domain Knowledge. ",
"Needs improvement in Domain Knowledge. "))) &amp;
IF(P27=0,
"Thought Process not attempted. Work on organizing your thoughts.",
IF(P27&gt;=4,
"Outstanding Thought Process. ",
IF(P27&gt;=2,
"Good Thought Process. ",
"Needs improvement in Thought Process. "))) &amp;
IF(Q27=0,
"Problem Solving Skills not attempted. Focus on practice.",
IF(Q27&gt;=4,
"Outstanding Problem Solving Skills. ",
IF(Q27&gt;=2,
"Good Problem Solving Skills. ",
"Needs improvement in Problem Solving Skills. "))))</f>
        <v>Personal Interview not attempted. Please ensure participation next time.</v>
      </c>
      <c r="V27" s="43">
        <v>0</v>
      </c>
      <c r="W27" s="11">
        <v>0</v>
      </c>
      <c r="X27" s="3">
        <v>0</v>
      </c>
      <c r="Y27" s="87">
        <v>0</v>
      </c>
      <c r="Z27" s="3">
        <f>SUM(V27:Y27)</f>
        <v>0</v>
      </c>
      <c r="AA27" s="64" t="s">
        <v>259</v>
      </c>
      <c r="AB27" s="69">
        <v>20</v>
      </c>
      <c r="AC27" s="7" t="str">
        <f>IF(AND(V27=0,W27=0,X27=0,Y27=0),
"GD Round not attempted. Active participation is crucial.",
IF(V27=0,
"Participation not attempted. Engage more in discussions.",
IF(V27&gt;=4,
"Outstanding Participation. ",
IF(V27&gt;=2,
"Good Participation. ",
"Needs improvement in Participation. "))) &amp;
IF(W27=0,
"Communication not attempted. Focus on expressing ideas clearly.",
IF(W27&gt;=4,
"Outstanding Communication. ",
IF(W27&gt;=2,
"Good Communication. ",
"Needs improvement in Communication. "))) &amp;
IF(X27=0,
"Presence of Mind not attempted. Work on staying alert during discussions.",
IF(X27&gt;=4,
"Outstanding Presence of Mind. ",
IF(X27&gt;=2,
"Good Presence of Mind. ",
"Needs improvement in Presence of Mind. "))) &amp;
IF(Y27=0,
"Presentation not attempted. Enhance your presentation skills.",
IF(Y27&gt;=4,
"Outstanding Presentation. ",
IF(Y27&gt;=2,
"Good Presentation. ",
"Needs improvement in Presentation. "))))</f>
        <v>GD Round not attempted. Active participation is crucial.</v>
      </c>
      <c r="AD27" s="43">
        <v>0</v>
      </c>
      <c r="AE27" s="11">
        <v>0</v>
      </c>
      <c r="AF27" s="82">
        <v>0</v>
      </c>
      <c r="AG27" s="5">
        <v>0</v>
      </c>
      <c r="AH27" s="19">
        <f>SUM(AD27:AG27)</f>
        <v>0</v>
      </c>
      <c r="AI27" s="73" t="s">
        <v>259</v>
      </c>
      <c r="AJ27" s="76">
        <v>20</v>
      </c>
      <c r="AK27" s="45" t="str">
        <f>IF(AND(AD27=0,AE27=0,AF27=0,AG27=0),
"HR Round not attempted. It's essential to participate in all assessments.",
IF(AD27=0,
"Values not attempted. Reflect on your core values.",
IF(AD27&gt;=4,
"Outstanding understanding of Values. ",
IF(AD27&gt;=2,
"Good understanding of Values. ",
"Needs improvement in understanding Values. "))) &amp;
IF(AE27=0,
"Career Goal not attempted. Define your career objectives clearly.",
IF(AE27&gt;=4,
"Outstanding clarity in Career Goals. ",
IF(AE27&gt;=2,
"Good clarity in Career Goals. ",
"Needs improvement in defining Career Goals. "))) &amp;
IF(AF27=0,
"Behavior Skills not attempted. Work on interpersonal skills.",
IF(AF27&gt;=4,
"Outstanding Behavior Skills. ",
IF(AF27&gt;=2,
"Good Behavior Skills. ",
"Needs improvement in Behavior Skills. "))) &amp;
IF(AG27=0,
"Role Fitment not attempted. Assess your fit for the role.",
IF(AG27&gt;=4,
"Outstanding Role Fitment. ",
IF(AG27&gt;=2,
"Good Role Fitment. ",
"Needs improvement in Role Fitment. "))))</f>
        <v>HR Round not attempted. It's essential to participate in all assessments.</v>
      </c>
      <c r="AL27" s="65">
        <f>SUM(J27,R27,Z27,AH27)</f>
        <v>6</v>
      </c>
      <c r="AM27" s="57">
        <v>6</v>
      </c>
      <c r="AN27" s="70">
        <v>150</v>
      </c>
      <c r="AO27" s="57">
        <v>97</v>
      </c>
      <c r="AP27" s="52" t="str">
        <f>IF(AND(J27=0,R27=0,Z27=0,AH27=0),
"No participation in any assessment. Please ensure participation in future evaluations.",
IF(J27=0,
"Online Assessment not attempted. Focus on improving basic skills.",
IF(J27&gt;=67.5,
"Outstanding performance in Online Assessment. ",
IF(J27&gt;=45,
"Good performance in Online Assessment. ",
"Needs improvement in Online Assessment. "))) &amp;
IF(R27=0,
"Personal Interview not attempted. Active engagement is essential.",
IF(R27&gt;=16,
"Outstanding performance in Personal Interview. ",
IF(R27&gt;=10,
"Good performance in Personal Interview. ",
"Needs improvement in Personal Interview. "))) &amp;
IF(Z27=0,
"GD Round not attempted. Active participation is crucial.",
IF(Z27&gt;=16,
"Outstanding performance in GD Round. ",
IF(Z27&gt;=10,
"Good performance in GD Round. ",
"Needs improvement in GD Round. "))) &amp;
IF(AH27=0,
"HR Round not attempted. Engage in the assessment process.",
IF(AH27&gt;=16,
"Outstanding performance in HR Round. ",
IF(AH27&gt;=10,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28" spans="1:42" ht="13">
      <c r="A28">
        <v>25</v>
      </c>
      <c r="B28" s="39" t="s">
        <v>57</v>
      </c>
      <c r="C28" s="40" t="s">
        <v>58</v>
      </c>
      <c r="D28" s="40">
        <v>9041103252</v>
      </c>
      <c r="E28" s="7" t="s">
        <v>253</v>
      </c>
      <c r="F28" s="4"/>
      <c r="G28" s="4"/>
      <c r="H28" s="7">
        <v>14.3</v>
      </c>
      <c r="I28" s="7">
        <v>19</v>
      </c>
      <c r="J28" s="28">
        <f>SUM(H28:I28)</f>
        <v>33.299999999999997</v>
      </c>
      <c r="K28" s="56">
        <v>33.299999999999997</v>
      </c>
      <c r="L28" s="28">
        <v>90</v>
      </c>
      <c r="M28" s="28" t="str">
        <f>IF(H28=0,
"Aptitude section not attempted. ",
IF(H28&gt;=33.75,
"Outstanding performance in Aptitude. ",
IF(H28&gt;=22.5,
"Good performance in Aptitude. ",
"Needs improvement in Aptitude. "))) &amp;
IF(I28=0,
" General MBA Questions section not attempted. ",
IF(I28&gt;=33.75,
" Outstanding performance in General MBA Questions. ",
IF(I28&gt;=22.5,
" Good performance in General MBA Questions. ",
" Needs improvement in General MBA Questions. ")))</f>
        <v xml:space="preserve">Needs improvement in Aptitude.  Needs improvement in General MBA Questions. </v>
      </c>
      <c r="N28" s="11">
        <v>3</v>
      </c>
      <c r="O28" s="11">
        <v>3</v>
      </c>
      <c r="P28" s="11">
        <v>2</v>
      </c>
      <c r="Q28" s="11">
        <v>3</v>
      </c>
      <c r="R28" s="41">
        <f>SUM(N28:Q28)</f>
        <v>11</v>
      </c>
      <c r="S28" s="60">
        <v>11</v>
      </c>
      <c r="T28" s="41">
        <v>20</v>
      </c>
      <c r="U28" s="45" t="str">
        <f>IF(AND(N28=0,O28=0,P28=0,Q28=0),
"Personal Interview not attempted. Please ensure participation next time.",
IF(N28=0,
"Self Expression not attempted. Focus on articulating thoughts clearly.",
IF(N28&gt;=4,
"Outstanding Self Expression. ",
IF(N28&gt;=2,
"Good Self Expression. ",
"Needs improvement in Self Expression. "))) &amp;
IF(O28=0,
"Domain Knowledge not attempted. Focus on relevant topics.",
IF(O28&gt;=4,
"Outstanding performance in Domain Knowledge. ",
IF(O28&gt;=2,
"Good performance in Domain Knowledge. ",
"Needs improvement in Domain Knowledge. "))) &amp;
IF(P28=0,
"Thought Process not attempted. Work on organizing your thoughts.",
IF(P28&gt;=4,
"Outstanding Thought Process. ",
IF(P28&gt;=2,
"Good Thought Process. ",
"Needs improvement in Thought Process. "))) &amp;
IF(Q28=0,
"Problem Solving Skills not attempted. Focus on practice.",
IF(Q28&gt;=4,
"Outstanding Problem Solving Skills. ",
IF(Q28&gt;=2,
"Good Problem Solving Skills. ",
"Needs improvement in Problem Solving Skills. "))))</f>
        <v xml:space="preserve">Good Self Expression. Good performance in Domain Knowledge. Good Thought Process. Good Problem Solving Skills. </v>
      </c>
      <c r="V28" s="43">
        <v>2</v>
      </c>
      <c r="W28" s="11">
        <v>2</v>
      </c>
      <c r="X28" s="3">
        <v>2</v>
      </c>
      <c r="Y28">
        <v>2</v>
      </c>
      <c r="Z28" s="3">
        <f>SUM(V28:Y28)</f>
        <v>8</v>
      </c>
      <c r="AA28" s="57">
        <v>8</v>
      </c>
      <c r="AB28" s="69">
        <v>20</v>
      </c>
      <c r="AC28" s="7" t="str">
        <f>IF(AND(V28=0,W28=0,X28=0,Y28=0),
"GD Round not attempted. Active participation is crucial.",
IF(V28=0,
"Participation not attempted. Engage more in discussions.",
IF(V28&gt;=4,
"Outstanding Participation. ",
IF(V28&gt;=2,
"Good Participation. ",
"Needs improvement in Participation. "))) &amp;
IF(W28=0,
"Communication not attempted. Focus on expressing ideas clearly.",
IF(W28&gt;=4,
"Outstanding Communication. ",
IF(W28&gt;=2,
"Good Communication. ",
"Needs improvement in Communication. "))) &amp;
IF(X28=0,
"Presence of Mind not attempted. Work on staying alert during discussions.",
IF(X28&gt;=4,
"Outstanding Presence of Mind. ",
IF(X28&gt;=2,
"Good Presence of Mind. ",
"Needs improvement in Presence of Mind. "))) &amp;
IF(Y28=0,
"Presentation not attempted. Enhance your presentation skills.",
IF(Y28&gt;=4,
"Outstanding Presentation. ",
IF(Y28&gt;=2,
"Good Presentation. ",
"Needs improvement in Presentation. "))))</f>
        <v xml:space="preserve">Good Participation. Good Communication. Good Presence of Mind. Good Presentation. </v>
      </c>
      <c r="AD28" s="43">
        <v>3</v>
      </c>
      <c r="AE28" s="11">
        <v>2.5</v>
      </c>
      <c r="AF28" s="88">
        <v>3</v>
      </c>
      <c r="AG28" s="25">
        <v>3</v>
      </c>
      <c r="AH28" s="19">
        <f>SUM(AD28:AG28)</f>
        <v>11.5</v>
      </c>
      <c r="AI28" s="73">
        <v>11.5</v>
      </c>
      <c r="AJ28" s="76">
        <v>20</v>
      </c>
      <c r="AK28" s="45" t="str">
        <f>IF(AND(AD28=0,AE28=0,AF28=0,AG28=0),
"HR Round not attempted. It's essential to participate in all assessments.",
IF(AD28=0,
"Values not attempted. Reflect on your core values.",
IF(AD28&gt;=4,
"Outstanding understanding of Values. ",
IF(AD28&gt;=2,
"Good understanding of Values. ",
"Needs improvement in understanding Values. "))) &amp;
IF(AE28=0,
"Career Goal not attempted. Define your career objectives clearly.",
IF(AE28&gt;=4,
"Outstanding clarity in Career Goals. ",
IF(AE28&gt;=2,
"Good clarity in Career Goals. ",
"Needs improvement in defining Career Goals. "))) &amp;
IF(AF28=0,
"Behavior Skills not attempted. Work on interpersonal skills.",
IF(AF28&gt;=4,
"Outstanding Behavior Skills. ",
IF(AF28&gt;=2,
"Good Behavior Skills. ",
"Needs improvement in Behavior Skills. "))) &amp;
IF(AG28=0,
"Role Fitment not attempted. Assess your fit for the role.",
IF(AG28&gt;=4,
"Outstanding Role Fitment. ",
IF(AG28&gt;=2,
"Good Role Fitment. ",
"Needs improvement in Role Fitment. "))))</f>
        <v xml:space="preserve">Good understanding of Values. Good clarity in Career Goals. Good Behavior Skills. Good Role Fitment. </v>
      </c>
      <c r="AL28" s="65">
        <f>SUM(J28,R28,Z28,AH28)</f>
        <v>63.8</v>
      </c>
      <c r="AM28" s="57">
        <v>63.8</v>
      </c>
      <c r="AN28" s="70">
        <v>150</v>
      </c>
      <c r="AO28" s="57">
        <v>26</v>
      </c>
      <c r="AP28" s="52" t="str">
        <f>IF(AND(J28=0,R28=0,Z28=0,AH28=0),
"No participation in any assessment. Please ensure participation in future evaluations.",
IF(J28=0,
"Online Assessment not attempted. Focus on improving basic skills.",
IF(J28&gt;=67.5,
"Outstanding performance in Online Assessment. ",
IF(J28&gt;=45,
"Good performance in Online Assessment. ",
"Needs improvement in Online Assessment. "))) &amp;
IF(R28=0,
"Personal Interview not attempted. Active engagement is essential.",
IF(R28&gt;=16,
"Outstanding performance in Personal Interview. ",
IF(R28&gt;=10,
"Good performance in Personal Interview. ",
"Needs improvement in Personal Interview. "))) &amp;
IF(Z28=0,
"GD Round not attempted. Active participation is crucial.",
IF(Z28&gt;=16,
"Outstanding performance in GD Round. ",
IF(Z28&gt;=10,
"Good performance in GD Round. ",
"Needs improvement in GD Round. "))) &amp;
IF(AH28=0,
"HR Round not attempted. Engage in the assessment process.",
IF(AH28&gt;=16,
"Outstanding performance in HR Round. ",
IF(AH28&gt;=10,
"Good performance in HR Round. ",
"Needs improvement in HR Round."))))</f>
        <v xml:space="preserve">Needs improvement in Online Assessment. Good performance in Personal Interview. Needs improvement in GD Round. Good performance in HR Round. </v>
      </c>
    </row>
    <row r="29" spans="1:42" ht="13">
      <c r="A29">
        <v>26</v>
      </c>
      <c r="B29" s="39" t="s">
        <v>65</v>
      </c>
      <c r="C29" s="40" t="s">
        <v>66</v>
      </c>
      <c r="D29" s="40">
        <v>8894434925</v>
      </c>
      <c r="E29" s="7" t="s">
        <v>253</v>
      </c>
      <c r="F29" s="4"/>
      <c r="G29" s="4"/>
      <c r="H29" s="7">
        <v>11.65</v>
      </c>
      <c r="I29" s="7">
        <v>24</v>
      </c>
      <c r="J29" s="28">
        <f>SUM(H29:I29)</f>
        <v>35.65</v>
      </c>
      <c r="K29" s="56">
        <v>35.65</v>
      </c>
      <c r="L29" s="28">
        <v>90</v>
      </c>
      <c r="M29" s="28" t="str">
        <f>IF(H29=0,
"Aptitude section not attempted. ",
IF(H29&gt;=33.75,
"Outstanding performance in Aptitude. ",
IF(H29&gt;=22.5,
"Good performance in Aptitude. ",
"Needs improvement in Aptitude. "))) &amp;
IF(I29=0,
" General MBA Questions section not attempted. ",
IF(I29&gt;=33.75,
" Outstanding performance in General MBA Questions. ",
IF(I29&gt;=22.5,
" Good performance in General MBA Questions. ",
" Needs improvement in General MBA Questions. ")))</f>
        <v xml:space="preserve">Needs improvement in Aptitude.  Good performance in General MBA Questions. </v>
      </c>
      <c r="N29" s="11">
        <v>0</v>
      </c>
      <c r="O29" s="11">
        <v>0</v>
      </c>
      <c r="P29" s="11">
        <v>0</v>
      </c>
      <c r="Q29" s="11">
        <v>0</v>
      </c>
      <c r="R29" s="41">
        <f>SUM(N29:Q29)</f>
        <v>0</v>
      </c>
      <c r="S29" s="60" t="s">
        <v>259</v>
      </c>
      <c r="T29" s="41">
        <v>20</v>
      </c>
      <c r="U29" s="45" t="str">
        <f>IF(AND(N29=0,O29=0,P29=0,Q29=0),
"Personal Interview not attempted. Please ensure participation next time.",
IF(N29=0,
"Self Expression not attempted. Focus on articulating thoughts clearly.",
IF(N29&gt;=4,
"Outstanding Self Expression. ",
IF(N29&gt;=2,
"Good Self Expression. ",
"Needs improvement in Self Expression. "))) &amp;
IF(O29=0,
"Domain Knowledge not attempted. Focus on relevant topics.",
IF(O29&gt;=4,
"Outstanding performance in Domain Knowledge. ",
IF(O29&gt;=2,
"Good performance in Domain Knowledge. ",
"Needs improvement in Domain Knowledge. "))) &amp;
IF(P29=0,
"Thought Process not attempted. Work on organizing your thoughts.",
IF(P29&gt;=4,
"Outstanding Thought Process. ",
IF(P29&gt;=2,
"Good Thought Process. ",
"Needs improvement in Thought Process. "))) &amp;
IF(Q29=0,
"Problem Solving Skills not attempted. Focus on practice.",
IF(Q29&gt;=4,
"Outstanding Problem Solving Skills. ",
IF(Q29&gt;=2,
"Good Problem Solving Skills. ",
"Needs improvement in Problem Solving Skills. "))))</f>
        <v>Personal Interview not attempted. Please ensure participation next time.</v>
      </c>
      <c r="V29" s="43">
        <v>3</v>
      </c>
      <c r="W29" s="11">
        <v>3</v>
      </c>
      <c r="X29" s="3">
        <v>2</v>
      </c>
      <c r="Y29" s="87">
        <v>2</v>
      </c>
      <c r="Z29" s="3">
        <f>SUM(V29:Y29)</f>
        <v>10</v>
      </c>
      <c r="AA29" s="57">
        <v>10</v>
      </c>
      <c r="AB29" s="69">
        <v>20</v>
      </c>
      <c r="AC29" s="7" t="str">
        <f>IF(AND(V29=0,W29=0,X29=0,Y29=0),
"GD Round not attempted. Active participation is crucial.",
IF(V29=0,
"Participation not attempted. Engage more in discussions.",
IF(V29&gt;=4,
"Outstanding Participation. ",
IF(V29&gt;=2,
"Good Participation. ",
"Needs improvement in Participation. "))) &amp;
IF(W29=0,
"Communication not attempted. Focus on expressing ideas clearly.",
IF(W29&gt;=4,
"Outstanding Communication. ",
IF(W29&gt;=2,
"Good Communication. ",
"Needs improvement in Communication. "))) &amp;
IF(X29=0,
"Presence of Mind not attempted. Work on staying alert during discussions.",
IF(X29&gt;=4,
"Outstanding Presence of Mind. ",
IF(X29&gt;=2,
"Good Presence of Mind. ",
"Needs improvement in Presence of Mind. "))) &amp;
IF(Y29=0,
"Presentation not attempted. Enhance your presentation skills.",
IF(Y29&gt;=4,
"Outstanding Presentation. ",
IF(Y29&gt;=2,
"Good Presentation. ",
"Needs improvement in Presentation. "))))</f>
        <v xml:space="preserve">Good Participation. Good Communication. Good Presence of Mind. Good Presentation. </v>
      </c>
      <c r="AD29" s="43">
        <v>3</v>
      </c>
      <c r="AE29" s="11">
        <v>3.5</v>
      </c>
      <c r="AF29" s="11">
        <v>2.5</v>
      </c>
      <c r="AG29" s="10">
        <v>3</v>
      </c>
      <c r="AH29" s="19">
        <f>SUM(AD29:AG29)</f>
        <v>12</v>
      </c>
      <c r="AI29" s="73">
        <v>12</v>
      </c>
      <c r="AJ29" s="76">
        <v>20</v>
      </c>
      <c r="AK29" s="45" t="str">
        <f>IF(AND(AD29=0,AE29=0,AF29=0,AG29=0),
"HR Round not attempted. It's essential to participate in all assessments.",
IF(AD29=0,
"Values not attempted. Reflect on your core values.",
IF(AD29&gt;=4,
"Outstanding understanding of Values. ",
IF(AD29&gt;=2,
"Good understanding of Values. ",
"Needs improvement in understanding Values. "))) &amp;
IF(AE29=0,
"Career Goal not attempted. Define your career objectives clearly.",
IF(AE29&gt;=4,
"Outstanding clarity in Career Goals. ",
IF(AE29&gt;=2,
"Good clarity in Career Goals. ",
"Needs improvement in defining Career Goals. "))) &amp;
IF(AF29=0,
"Behavior Skills not attempted. Work on interpersonal skills.",
IF(AF29&gt;=4,
"Outstanding Behavior Skills. ",
IF(AF29&gt;=2,
"Good Behavior Skills. ",
"Needs improvement in Behavior Skills. "))) &amp;
IF(AG29=0,
"Role Fitment not attempted. Assess your fit for the role.",
IF(AG29&gt;=4,
"Outstanding Role Fitment. ",
IF(AG29&gt;=2,
"Good Role Fitment. ",
"Needs improvement in Role Fitment. "))))</f>
        <v xml:space="preserve">Good understanding of Values. Good clarity in Career Goals. Good Behavior Skills. Good Role Fitment. </v>
      </c>
      <c r="AL29" s="65">
        <f>SUM(J29,R29,Z29,AH29)</f>
        <v>57.65</v>
      </c>
      <c r="AM29" s="57">
        <v>57.65</v>
      </c>
      <c r="AN29" s="70">
        <v>150</v>
      </c>
      <c r="AO29" s="57">
        <v>42</v>
      </c>
      <c r="AP29" s="52" t="str">
        <f>IF(AND(J29=0,R29=0,Z29=0,AH29=0),
"No participation in any assessment. Please ensure participation in future evaluations.",
IF(J29=0,
"Online Assessment not attempted. Focus on improving basic skills.",
IF(J29&gt;=67.5,
"Outstanding performance in Online Assessment. ",
IF(J29&gt;=45,
"Good performance in Online Assessment. ",
"Needs improvement in Online Assessment. "))) &amp;
IF(R29=0,
"Personal Interview not attempted. Active engagement is essential.",
IF(R29&gt;=16,
"Outstanding performance in Personal Interview. ",
IF(R29&gt;=10,
"Good performance in Personal Interview. ",
"Needs improvement in Personal Interview. "))) &amp;
IF(Z29=0,
"GD Round not attempted. Active participation is crucial.",
IF(Z29&gt;=16,
"Outstanding performance in GD Round. ",
IF(Z29&gt;=10,
"Good performance in GD Round. ",
"Needs improvement in GD Round. "))) &amp;
IF(AH29=0,
"HR Round not attempted. Engage in the assessment process.",
IF(AH29&gt;=16,
"Outstanding performance in HR Round. ",
IF(AH29&gt;=10,
"Good performance in HR Round. ",
"Needs improvement in HR Round."))))</f>
        <v xml:space="preserve">Needs improvement in Online Assessment. Personal Interview not attempted. Active engagement is essential.Good performance in GD Round. Good performance in HR Round. </v>
      </c>
    </row>
    <row r="30" spans="1:42" ht="13">
      <c r="A30">
        <v>27</v>
      </c>
      <c r="B30" s="39" t="s">
        <v>124</v>
      </c>
      <c r="C30" s="40" t="s">
        <v>125</v>
      </c>
      <c r="D30" s="40">
        <v>6284892180</v>
      </c>
      <c r="E30" s="7" t="s">
        <v>253</v>
      </c>
      <c r="F30" s="4"/>
      <c r="G30" s="4"/>
      <c r="H30" s="7">
        <v>9.9</v>
      </c>
      <c r="I30" s="7">
        <v>36</v>
      </c>
      <c r="J30" s="28">
        <f>SUM(H30:I30)</f>
        <v>45.9</v>
      </c>
      <c r="K30" s="56">
        <v>45.9</v>
      </c>
      <c r="L30" s="28">
        <v>90</v>
      </c>
      <c r="M30" s="28" t="str">
        <f>IF(H30=0,
"Aptitude section not attempted. ",
IF(H30&gt;=33.75,
"Outstanding performance in Aptitude. ",
IF(H30&gt;=22.5,
"Good performance in Aptitude. ",
"Needs improvement in Aptitude. "))) &amp;
IF(I30=0,
" General MBA Questions section not attempted. ",
IF(I30&gt;=33.75,
" Outstanding performance in General MBA Questions. ",
IF(I30&gt;=22.5,
" Good performance in General MBA Questions. ",
" Needs improvement in General MBA Questions. ")))</f>
        <v xml:space="preserve">Needs improvement in Aptitude.  Outstanding performance in General MBA Questions. </v>
      </c>
      <c r="N30" s="11">
        <v>0</v>
      </c>
      <c r="O30" s="11">
        <v>0</v>
      </c>
      <c r="P30" s="11">
        <v>0</v>
      </c>
      <c r="Q30" s="11">
        <v>0</v>
      </c>
      <c r="R30" s="41">
        <f>SUM(N30:Q30)</f>
        <v>0</v>
      </c>
      <c r="S30" s="60" t="s">
        <v>259</v>
      </c>
      <c r="T30" s="41">
        <v>20</v>
      </c>
      <c r="U30" s="45" t="str">
        <f>IF(AND(N30=0,O30=0,P30=0,Q30=0),
"Personal Interview not attempted. Please ensure participation next time.",
IF(N30=0,
"Self Expression not attempted. Focus on articulating thoughts clearly.",
IF(N30&gt;=4,
"Outstanding Self Expression. ",
IF(N30&gt;=2,
"Good Self Expression. ",
"Needs improvement in Self Expression. "))) &amp;
IF(O30=0,
"Domain Knowledge not attempted. Focus on relevant topics.",
IF(O30&gt;=4,
"Outstanding performance in Domain Knowledge. ",
IF(O30&gt;=2,
"Good performance in Domain Knowledge. ",
"Needs improvement in Domain Knowledge. "))) &amp;
IF(P30=0,
"Thought Process not attempted. Work on organizing your thoughts.",
IF(P30&gt;=4,
"Outstanding Thought Process. ",
IF(P30&gt;=2,
"Good Thought Process. ",
"Needs improvement in Thought Process. "))) &amp;
IF(Q30=0,
"Problem Solving Skills not attempted. Focus on practice.",
IF(Q30&gt;=4,
"Outstanding Problem Solving Skills. ",
IF(Q30&gt;=2,
"Good Problem Solving Skills. ",
"Needs improvement in Problem Solving Skills. "))))</f>
        <v>Personal Interview not attempted. Please ensure participation next time.</v>
      </c>
      <c r="V30" s="43">
        <v>3</v>
      </c>
      <c r="W30" s="11">
        <v>2</v>
      </c>
      <c r="X30" s="3">
        <v>2</v>
      </c>
      <c r="Y30" s="87">
        <v>2</v>
      </c>
      <c r="Z30" s="3">
        <f>SUM(V30:Y30)</f>
        <v>9</v>
      </c>
      <c r="AA30" s="57">
        <v>9</v>
      </c>
      <c r="AB30" s="69">
        <v>20</v>
      </c>
      <c r="AC30" s="7" t="str">
        <f>IF(AND(V30=0,W30=0,X30=0,Y30=0),
"GD Round not attempted. Active participation is crucial.",
IF(V30=0,
"Participation not attempted. Engage more in discussions.",
IF(V30&gt;=4,
"Outstanding Participation. ",
IF(V30&gt;=2,
"Good Participation. ",
"Needs improvement in Participation. "))) &amp;
IF(W30=0,
"Communication not attempted. Focus on expressing ideas clearly.",
IF(W30&gt;=4,
"Outstanding Communication. ",
IF(W30&gt;=2,
"Good Communication. ",
"Needs improvement in Communication. "))) &amp;
IF(X30=0,
"Presence of Mind not attempted. Work on staying alert during discussions.",
IF(X30&gt;=4,
"Outstanding Presence of Mind. ",
IF(X30&gt;=2,
"Good Presence of Mind. ",
"Needs improvement in Presence of Mind. "))) &amp;
IF(Y30=0,
"Presentation not attempted. Enhance your presentation skills.",
IF(Y30&gt;=4,
"Outstanding Presentation. ",
IF(Y30&gt;=2,
"Good Presentation. ",
"Needs improvement in Presentation. "))))</f>
        <v xml:space="preserve">Good Participation. Good Communication. Good Presence of Mind. Good Presentation. </v>
      </c>
      <c r="AD30" s="43">
        <v>0</v>
      </c>
      <c r="AE30" s="11">
        <v>0</v>
      </c>
      <c r="AF30" s="82">
        <v>0</v>
      </c>
      <c r="AG30" s="5">
        <v>0</v>
      </c>
      <c r="AH30" s="19">
        <f>SUM(AD30:AG30)</f>
        <v>0</v>
      </c>
      <c r="AI30" s="73" t="s">
        <v>259</v>
      </c>
      <c r="AJ30" s="76">
        <v>20</v>
      </c>
      <c r="AK30" s="45" t="str">
        <f>IF(AND(AD30=0,AE30=0,AF30=0,AG30=0),
"HR Round not attempted. It's essential to participate in all assessments.",
IF(AD30=0,
"Values not attempted. Reflect on your core values.",
IF(AD30&gt;=4,
"Outstanding understanding of Values. ",
IF(AD30&gt;=2,
"Good understanding of Values. ",
"Needs improvement in understanding Values. "))) &amp;
IF(AE30=0,
"Career Goal not attempted. Define your career objectives clearly.",
IF(AE30&gt;=4,
"Outstanding clarity in Career Goals. ",
IF(AE30&gt;=2,
"Good clarity in Career Goals. ",
"Needs improvement in defining Career Goals. "))) &amp;
IF(AF30=0,
"Behavior Skills not attempted. Work on interpersonal skills.",
IF(AF30&gt;=4,
"Outstanding Behavior Skills. ",
IF(AF30&gt;=2,
"Good Behavior Skills. ",
"Needs improvement in Behavior Skills. "))) &amp;
IF(AG30=0,
"Role Fitment not attempted. Assess your fit for the role.",
IF(AG30&gt;=4,
"Outstanding Role Fitment. ",
IF(AG30&gt;=2,
"Good Role Fitment. ",
"Needs improvement in Role Fitment. "))))</f>
        <v>HR Round not attempted. It's essential to participate in all assessments.</v>
      </c>
      <c r="AL30" s="65">
        <f>SUM(J30,R30,Z30,AH30)</f>
        <v>54.9</v>
      </c>
      <c r="AM30" s="57">
        <v>54.9</v>
      </c>
      <c r="AN30" s="70">
        <v>150</v>
      </c>
      <c r="AO30" s="57">
        <v>49</v>
      </c>
      <c r="AP30" s="52" t="str">
        <f>IF(AND(J30=0,R30=0,Z30=0,AH30=0),
"No participation in any assessment. Please ensure participation in future evaluations.",
IF(J30=0,
"Online Assessment not attempted. Focus on improving basic skills.",
IF(J30&gt;=67.5,
"Outstanding performance in Online Assessment. ",
IF(J30&gt;=45,
"Good performance in Online Assessment. ",
"Needs improvement in Online Assessment. "))) &amp;
IF(R30=0,
"Personal Interview not attempted. Active engagement is essential.",
IF(R30&gt;=16,
"Outstanding performance in Personal Interview. ",
IF(R30&gt;=10,
"Good performance in Personal Interview. ",
"Needs improvement in Personal Interview. "))) &amp;
IF(Z30=0,
"GD Round not attempted. Active participation is crucial.",
IF(Z30&gt;=16,
"Outstanding performance in GD Round. ",
IF(Z30&gt;=10,
"Good performance in GD Round. ",
"Needs improvement in GD Round. "))) &amp;
IF(AH30=0,
"HR Round not attempted. Engage in the assessment process.",
IF(AH30&gt;=16,
"Outstanding performance in HR Round. ",
IF(AH30&gt;=10,
"Good performance in HR Round. ",
"Needs improvement in HR Round."))))</f>
        <v>Good performance in Online Assessment. Personal Interview not attempted. Active engagement is essential.Needs improvement in GD Round. HR Round not attempted. Engage in the assessment process.</v>
      </c>
    </row>
    <row r="31" spans="1:42" ht="13">
      <c r="A31">
        <v>28</v>
      </c>
      <c r="B31" s="39" t="s">
        <v>227</v>
      </c>
      <c r="C31" s="40" t="s">
        <v>228</v>
      </c>
      <c r="D31" s="40">
        <v>8884086000</v>
      </c>
      <c r="E31" s="7" t="s">
        <v>253</v>
      </c>
      <c r="F31" s="7"/>
      <c r="G31" s="7"/>
      <c r="H31" s="7">
        <v>6.6</v>
      </c>
      <c r="I31" s="7">
        <v>16</v>
      </c>
      <c r="J31" s="28">
        <f>SUM(H31:I31)</f>
        <v>22.6</v>
      </c>
      <c r="K31" s="56">
        <v>22.6</v>
      </c>
      <c r="L31" s="28">
        <v>90</v>
      </c>
      <c r="M31" s="28" t="str">
        <f>IF(H31=0,
"Aptitude section not attempted. ",
IF(H31&gt;=33.75,
"Outstanding performance in Aptitude. ",
IF(H31&gt;=22.5,
"Good performance in Aptitude. ",
"Needs improvement in Aptitude. "))) &amp;
IF(I31=0,
" General MBA Questions section not attempted. ",
IF(I31&gt;=33.75,
" Outstanding performance in General MBA Questions. ",
IF(I31&gt;=22.5,
" Good performance in General MBA Questions. ",
" Needs improvement in General MBA Questions. ")))</f>
        <v xml:space="preserve">Needs improvement in Aptitude.  Needs improvement in General MBA Questions. </v>
      </c>
      <c r="N31" s="7">
        <v>4</v>
      </c>
      <c r="O31" s="7">
        <v>2</v>
      </c>
      <c r="P31" s="7">
        <v>3</v>
      </c>
      <c r="Q31" s="7">
        <v>3</v>
      </c>
      <c r="R31" s="41">
        <f>SUM(N31:Q31)</f>
        <v>12</v>
      </c>
      <c r="S31" s="60">
        <v>12</v>
      </c>
      <c r="T31" s="41">
        <v>20</v>
      </c>
      <c r="U31" s="45" t="str">
        <f>IF(AND(N31=0,O31=0,P31=0,Q31=0),
"Personal Interview not attempted. Please ensure participation next time.",
IF(N31=0,
"Self Expression not attempted. Focus on articulating thoughts clearly.",
IF(N31&gt;=4,
"Outstanding Self Expression. ",
IF(N31&gt;=2,
"Good Self Expression. ",
"Needs improvement in Self Expression. "))) &amp;
IF(O31=0,
"Domain Knowledge not attempted. Focus on relevant topics.",
IF(O31&gt;=4,
"Outstanding performance in Domain Knowledge. ",
IF(O31&gt;=2,
"Good performance in Domain Knowledge. ",
"Needs improvement in Domain Knowledge. "))) &amp;
IF(P31=0,
"Thought Process not attempted. Work on organizing your thoughts.",
IF(P31&gt;=4,
"Outstanding Thought Process. ",
IF(P31&gt;=2,
"Good Thought Process. ",
"Needs improvement in Thought Process. "))) &amp;
IF(Q31=0,
"Problem Solving Skills not attempted. Focus on practice.",
IF(Q31&gt;=4,
"Outstanding Problem Solving Skills. ",
IF(Q31&gt;=2,
"Good Problem Solving Skills. ",
"Needs improvement in Problem Solving Skills. "))))</f>
        <v xml:space="preserve">Outstanding Self Expression. Good performance in Domain Knowledge. Good Thought Process. Good Problem Solving Skills. </v>
      </c>
      <c r="V31" s="43">
        <v>1</v>
      </c>
      <c r="W31" s="11">
        <v>1</v>
      </c>
      <c r="X31" s="3">
        <v>1</v>
      </c>
      <c r="Y31" s="88">
        <v>1</v>
      </c>
      <c r="Z31" s="3">
        <f>SUM(V31:Y31)</f>
        <v>4</v>
      </c>
      <c r="AA31" s="57">
        <v>4</v>
      </c>
      <c r="AB31" s="69">
        <v>20</v>
      </c>
      <c r="AC31" s="7" t="str">
        <f>IF(AND(V31=0,W31=0,X31=0,Y31=0),
"GD Round not attempted. Active participation is crucial.",
IF(V31=0,
"Participation not attempted. Engage more in discussions.",
IF(V31&gt;=4,
"Outstanding Participation. ",
IF(V31&gt;=2,
"Good Participation. ",
"Needs improvement in Participation. "))) &amp;
IF(W31=0,
"Communication not attempted. Focus on expressing ideas clearly.",
IF(W31&gt;=4,
"Outstanding Communication. ",
IF(W31&gt;=2,
"Good Communication. ",
"Needs improvement in Communication. "))) &amp;
IF(X31=0,
"Presence of Mind not attempted. Work on staying alert during discussions.",
IF(X31&gt;=4,
"Outstanding Presence of Mind. ",
IF(X31&gt;=2,
"Good Presence of Mind. ",
"Needs improvement in Presence of Mind. "))) &amp;
IF(Y31=0,
"Presentation not attempted. Enhance your presentation skills.",
IF(Y31&gt;=4,
"Outstanding Presentation. ",
IF(Y31&gt;=2,
"Good Presentation. ",
"Needs improvement in Presentation. "))))</f>
        <v xml:space="preserve">Needs improvement in Participation. Needs improvement in Communication. Needs improvement in Presence of Mind. Needs improvement in Presentation. </v>
      </c>
      <c r="AD31" s="46">
        <v>3</v>
      </c>
      <c r="AE31" s="7">
        <v>2</v>
      </c>
      <c r="AF31">
        <v>4</v>
      </c>
      <c r="AG31" s="26">
        <v>2</v>
      </c>
      <c r="AH31" s="19">
        <f>SUM(AD31:AG31)</f>
        <v>11</v>
      </c>
      <c r="AI31" s="73">
        <v>11</v>
      </c>
      <c r="AJ31" s="76">
        <v>20</v>
      </c>
      <c r="AK31" s="45" t="str">
        <f>IF(AND(AD31=0,AE31=0,AF31=0,AG31=0),
"HR Round not attempted. It's essential to participate in all assessments.",
IF(AD31=0,
"Values not attempted. Reflect on your core values.",
IF(AD31&gt;=4,
"Outstanding understanding of Values. ",
IF(AD31&gt;=2,
"Good understanding of Values. ",
"Needs improvement in understanding Values. "))) &amp;
IF(AE31=0,
"Career Goal not attempted. Define your career objectives clearly.",
IF(AE31&gt;=4,
"Outstanding clarity in Career Goals. ",
IF(AE31&gt;=2,
"Good clarity in Career Goals. ",
"Needs improvement in defining Career Goals. "))) &amp;
IF(AF31=0,
"Behavior Skills not attempted. Work on interpersonal skills.",
IF(AF31&gt;=4,
"Outstanding Behavior Skills. ",
IF(AF31&gt;=2,
"Good Behavior Skills. ",
"Needs improvement in Behavior Skills. "))) &amp;
IF(AG31=0,
"Role Fitment not attempted. Assess your fit for the role.",
IF(AG31&gt;=4,
"Outstanding Role Fitment. ",
IF(AG31&gt;=2,
"Good Role Fitment. ",
"Needs improvement in Role Fitment. "))))</f>
        <v xml:space="preserve">Good understanding of Values. Good clarity in Career Goals. Outstanding Behavior Skills. Good Role Fitment. </v>
      </c>
      <c r="AL31" s="65">
        <f>SUM(J31,R31,Z31,AH31)</f>
        <v>49.6</v>
      </c>
      <c r="AM31" s="57">
        <v>49.6</v>
      </c>
      <c r="AN31" s="70">
        <v>150</v>
      </c>
      <c r="AO31" s="57">
        <v>59</v>
      </c>
      <c r="AP31" s="52" t="str">
        <f>IF(AND(J31=0,R31=0,Z31=0,AH31=0),
"No participation in any assessment. Please ensure participation in future evaluations.",
IF(J31=0,
"Online Assessment not attempted. Focus on improving basic skills.",
IF(J31&gt;=67.5,
"Outstanding performance in Online Assessment. ",
IF(J31&gt;=45,
"Good performance in Online Assessment. ",
"Needs improvement in Online Assessment. "))) &amp;
IF(R31=0,
"Personal Interview not attempted. Active engagement is essential.",
IF(R31&gt;=16,
"Outstanding performance in Personal Interview. ",
IF(R31&gt;=10,
"Good performance in Personal Interview. ",
"Needs improvement in Personal Interview. "))) &amp;
IF(Z31=0,
"GD Round not attempted. Active participation is crucial.",
IF(Z31&gt;=16,
"Outstanding performance in GD Round. ",
IF(Z31&gt;=10,
"Good performance in GD Round. ",
"Needs improvement in GD Round. "))) &amp;
IF(AH31=0,
"HR Round not attempted. Engage in the assessment process.",
IF(AH31&gt;=16,
"Outstanding performance in HR Round. ",
IF(AH31&gt;=10,
"Good performance in HR Round. ",
"Needs improvement in HR Round."))))</f>
        <v xml:space="preserve">Needs improvement in Online Assessment. Good performance in Personal Interview. Needs improvement in GD Round. Good performance in HR Round. </v>
      </c>
    </row>
    <row r="32" spans="1:42" ht="13">
      <c r="A32">
        <v>29</v>
      </c>
      <c r="B32" s="39" t="s">
        <v>31</v>
      </c>
      <c r="C32" s="40" t="s">
        <v>32</v>
      </c>
      <c r="D32" s="40">
        <v>6283021267</v>
      </c>
      <c r="E32" s="7" t="s">
        <v>253</v>
      </c>
      <c r="F32" s="6"/>
      <c r="G32" s="6"/>
      <c r="H32" s="7">
        <v>11.65</v>
      </c>
      <c r="I32" s="7">
        <v>22</v>
      </c>
      <c r="J32" s="28">
        <f>SUM(H32:I32)</f>
        <v>33.65</v>
      </c>
      <c r="K32" s="56">
        <v>33.65</v>
      </c>
      <c r="L32" s="28">
        <v>90</v>
      </c>
      <c r="M32" s="28" t="str">
        <f>IF(H32=0,
"Aptitude section not attempted. ",
IF(H32&gt;=33.75,
"Outstanding performance in Aptitude. ",
IF(H32&gt;=22.5,
"Good performance in Aptitude. ",
"Needs improvement in Aptitude. "))) &amp;
IF(I32=0,
" General MBA Questions section not attempted. ",
IF(I32&gt;=33.75,
" Outstanding performance in General MBA Questions. ",
IF(I32&gt;=22.5,
" Good performance in General MBA Questions. ",
" Needs improvement in General MBA Questions. ")))</f>
        <v xml:space="preserve">Needs improvement in Aptitude.  Needs improvement in General MBA Questions. </v>
      </c>
      <c r="N32" s="11">
        <v>3</v>
      </c>
      <c r="O32" s="11">
        <v>2</v>
      </c>
      <c r="P32" s="11">
        <v>3</v>
      </c>
      <c r="Q32" s="11">
        <v>3</v>
      </c>
      <c r="R32" s="41">
        <f>SUM(N32:Q32)</f>
        <v>11</v>
      </c>
      <c r="S32" s="60">
        <v>11</v>
      </c>
      <c r="T32" s="41">
        <v>20</v>
      </c>
      <c r="U32" s="45" t="str">
        <f>IF(AND(N32=0,O32=0,P32=0,Q32=0),
"Personal Interview not attempted. Please ensure participation next time.",
IF(N32=0,
"Self Expression not attempted. Focus on articulating thoughts clearly.",
IF(N32&gt;=4,
"Outstanding Self Expression. ",
IF(N32&gt;=2,
"Good Self Expression. ",
"Needs improvement in Self Expression. "))) &amp;
IF(O32=0,
"Domain Knowledge not attempted. Focus on relevant topics.",
IF(O32&gt;=4,
"Outstanding performance in Domain Knowledge. ",
IF(O32&gt;=2,
"Good performance in Domain Knowledge. ",
"Needs improvement in Domain Knowledge. "))) &amp;
IF(P32=0,
"Thought Process not attempted. Work on organizing your thoughts.",
IF(P32&gt;=4,
"Outstanding Thought Process. ",
IF(P32&gt;=2,
"Good Thought Process. ",
"Needs improvement in Thought Process. "))) &amp;
IF(Q32=0,
"Problem Solving Skills not attempted. Focus on practice.",
IF(Q32&gt;=4,
"Outstanding Problem Solving Skills. ",
IF(Q32&gt;=2,
"Good Problem Solving Skills. ",
"Needs improvement in Problem Solving Skills. "))))</f>
        <v xml:space="preserve">Good Self Expression. Good performance in Domain Knowledge. Good Thought Process. Good Problem Solving Skills. </v>
      </c>
      <c r="V32" s="43">
        <v>2</v>
      </c>
      <c r="W32" s="11">
        <v>2</v>
      </c>
      <c r="X32" s="3">
        <v>2</v>
      </c>
      <c r="Y32" s="87">
        <v>2</v>
      </c>
      <c r="Z32" s="3">
        <f>SUM(V32:Y32)</f>
        <v>8</v>
      </c>
      <c r="AA32" s="57">
        <v>8</v>
      </c>
      <c r="AB32" s="69">
        <v>20</v>
      </c>
      <c r="AC32" s="7" t="str">
        <f>IF(AND(V32=0,W32=0,X32=0,Y32=0),
"GD Round not attempted. Active participation is crucial.",
IF(V32=0,
"Participation not attempted. Engage more in discussions.",
IF(V32&gt;=4,
"Outstanding Participation. ",
IF(V32&gt;=2,
"Good Participation. ",
"Needs improvement in Participation. "))) &amp;
IF(W32=0,
"Communication not attempted. Focus on expressing ideas clearly.",
IF(W32&gt;=4,
"Outstanding Communication. ",
IF(W32&gt;=2,
"Good Communication. ",
"Needs improvement in Communication. "))) &amp;
IF(X32=0,
"Presence of Mind not attempted. Work on staying alert during discussions.",
IF(X32&gt;=4,
"Outstanding Presence of Mind. ",
IF(X32&gt;=2,
"Good Presence of Mind. ",
"Needs improvement in Presence of Mind. "))) &amp;
IF(Y32=0,
"Presentation not attempted. Enhance your presentation skills.",
IF(Y32&gt;=4,
"Outstanding Presentation. ",
IF(Y32&gt;=2,
"Good Presentation. ",
"Needs improvement in Presentation. "))))</f>
        <v xml:space="preserve">Good Participation. Good Communication. Good Presence of Mind. Good Presentation. </v>
      </c>
      <c r="AD32" s="43">
        <v>2</v>
      </c>
      <c r="AE32" s="11">
        <v>2</v>
      </c>
      <c r="AF32" s="11">
        <v>2</v>
      </c>
      <c r="AG32" s="10">
        <v>2</v>
      </c>
      <c r="AH32" s="19">
        <f>SUM(AD32:AG32)</f>
        <v>8</v>
      </c>
      <c r="AI32" s="73">
        <v>8</v>
      </c>
      <c r="AJ32" s="76">
        <v>20</v>
      </c>
      <c r="AK32" s="45" t="str">
        <f>IF(AND(AD32=0,AE32=0,AF32=0,AG32=0),
"HR Round not attempted. It's essential to participate in all assessments.",
IF(AD32=0,
"Values not attempted. Reflect on your core values.",
IF(AD32&gt;=4,
"Outstanding understanding of Values. ",
IF(AD32&gt;=2,
"Good understanding of Values. ",
"Needs improvement in understanding Values. "))) &amp;
IF(AE32=0,
"Career Goal not attempted. Define your career objectives clearly.",
IF(AE32&gt;=4,
"Outstanding clarity in Career Goals. ",
IF(AE32&gt;=2,
"Good clarity in Career Goals. ",
"Needs improvement in defining Career Goals. "))) &amp;
IF(AF32=0,
"Behavior Skills not attempted. Work on interpersonal skills.",
IF(AF32&gt;=4,
"Outstanding Behavior Skills. ",
IF(AF32&gt;=2,
"Good Behavior Skills. ",
"Needs improvement in Behavior Skills. "))) &amp;
IF(AG32=0,
"Role Fitment not attempted. Assess your fit for the role.",
IF(AG32&gt;=4,
"Outstanding Role Fitment. ",
IF(AG32&gt;=2,
"Good Role Fitment. ",
"Needs improvement in Role Fitment. "))))</f>
        <v xml:space="preserve">Good understanding of Values. Good clarity in Career Goals. Good Behavior Skills. Good Role Fitment. </v>
      </c>
      <c r="AL32" s="65">
        <f>SUM(J32,R32,Z32,AH32)</f>
        <v>60.65</v>
      </c>
      <c r="AM32" s="57">
        <v>60.65</v>
      </c>
      <c r="AN32" s="70">
        <v>150</v>
      </c>
      <c r="AO32" s="57">
        <v>34</v>
      </c>
      <c r="AP32" s="52" t="str">
        <f>IF(AND(J32=0,R32=0,Z32=0,AH32=0),
"No participation in any assessment. Please ensure participation in future evaluations.",
IF(J32=0,
"Online Assessment not attempted. Focus on improving basic skills.",
IF(J32&gt;=67.5,
"Outstanding performance in Online Assessment. ",
IF(J32&gt;=45,
"Good performance in Online Assessment. ",
"Needs improvement in Online Assessment. "))) &amp;
IF(R32=0,
"Personal Interview not attempted. Active engagement is essential.",
IF(R32&gt;=16,
"Outstanding performance in Personal Interview. ",
IF(R32&gt;=10,
"Good performance in Personal Interview. ",
"Needs improvement in Personal Interview. "))) &amp;
IF(Z32=0,
"GD Round not attempted. Active participation is crucial.",
IF(Z32&gt;=16,
"Outstanding performance in GD Round. ",
IF(Z32&gt;=10,
"Good performance in GD Round. ",
"Needs improvement in GD Round. "))) &amp;
IF(AH32=0,
"HR Round not attempted. Engage in the assessment process.",
IF(AH32&gt;=16,
"Outstanding performance in HR Round. ",
IF(AH32&gt;=10,
"Good performance in HR Round. ",
"Needs improvement in HR Round."))))</f>
        <v>Needs improvement in Online Assessment. Good performance in Personal Interview. Needs improvement in GD Round. Needs improvement in HR Round.</v>
      </c>
    </row>
    <row r="33" spans="1:42" ht="13">
      <c r="A33">
        <v>30</v>
      </c>
      <c r="B33" s="39" t="s">
        <v>138</v>
      </c>
      <c r="C33" s="40" t="s">
        <v>139</v>
      </c>
      <c r="D33" s="40">
        <v>9041517273</v>
      </c>
      <c r="E33" s="7" t="s">
        <v>253</v>
      </c>
      <c r="F33" s="4"/>
      <c r="G33" s="4"/>
      <c r="H33" s="7">
        <v>15.15</v>
      </c>
      <c r="I33" s="7">
        <v>38</v>
      </c>
      <c r="J33" s="28">
        <f>SUM(H33:I33)</f>
        <v>53.15</v>
      </c>
      <c r="K33" s="56">
        <v>53.15</v>
      </c>
      <c r="L33" s="28">
        <v>90</v>
      </c>
      <c r="M33" s="28" t="str">
        <f>IF(H33=0,
"Aptitude section not attempted. ",
IF(H33&gt;=33.75,
"Outstanding performance in Aptitude. ",
IF(H33&gt;=22.5,
"Good performance in Aptitude. ",
"Needs improvement in Aptitude. "))) &amp;
IF(I33=0,
" General MBA Questions section not attempted. ",
IF(I33&gt;=33.75,
" Outstanding performance in General MBA Questions. ",
IF(I33&gt;=22.5,
" Good performance in General MBA Questions. ",
" Needs improvement in General MBA Questions. ")))</f>
        <v xml:space="preserve">Needs improvement in Aptitude.  Outstanding performance in General MBA Questions. </v>
      </c>
      <c r="N33" s="11">
        <v>0</v>
      </c>
      <c r="O33" s="11">
        <v>0</v>
      </c>
      <c r="P33" s="11">
        <v>0</v>
      </c>
      <c r="Q33" s="11">
        <v>0</v>
      </c>
      <c r="R33" s="41">
        <f>SUM(N33:Q33)</f>
        <v>0</v>
      </c>
      <c r="S33" s="60" t="s">
        <v>259</v>
      </c>
      <c r="T33" s="41">
        <v>20</v>
      </c>
      <c r="U33" s="45" t="str">
        <f>IF(AND(N33=0,O33=0,P33=0,Q33=0),
"Personal Interview not attempted. Please ensure participation next time.",
IF(N33=0,
"Self Expression not attempted. Focus on articulating thoughts clearly.",
IF(N33&gt;=4,
"Outstanding Self Expression. ",
IF(N33&gt;=2,
"Good Self Expression. ",
"Needs improvement in Self Expression. "))) &amp;
IF(O33=0,
"Domain Knowledge not attempted. Focus on relevant topics.",
IF(O33&gt;=4,
"Outstanding performance in Domain Knowledge. ",
IF(O33&gt;=2,
"Good performance in Domain Knowledge. ",
"Needs improvement in Domain Knowledge. "))) &amp;
IF(P33=0,
"Thought Process not attempted. Work on organizing your thoughts.",
IF(P33&gt;=4,
"Outstanding Thought Process. ",
IF(P33&gt;=2,
"Good Thought Process. ",
"Needs improvement in Thought Process. "))) &amp;
IF(Q33=0,
"Problem Solving Skills not attempted. Focus on practice.",
IF(Q33&gt;=4,
"Outstanding Problem Solving Skills. ",
IF(Q33&gt;=2,
"Good Problem Solving Skills. ",
"Needs improvement in Problem Solving Skills. "))))</f>
        <v>Personal Interview not attempted. Please ensure participation next time.</v>
      </c>
      <c r="V33" s="43">
        <v>3</v>
      </c>
      <c r="W33" s="11">
        <v>2</v>
      </c>
      <c r="X33" s="3">
        <v>2</v>
      </c>
      <c r="Y33">
        <v>2</v>
      </c>
      <c r="Z33" s="3">
        <f>SUM(V33:Y33)</f>
        <v>9</v>
      </c>
      <c r="AA33" s="57">
        <v>9</v>
      </c>
      <c r="AB33" s="69">
        <v>20</v>
      </c>
      <c r="AC33" s="7" t="str">
        <f>IF(AND(V33=0,W33=0,X33=0,Y33=0),
"GD Round not attempted. Active participation is crucial.",
IF(V33=0,
"Participation not attempted. Engage more in discussions.",
IF(V33&gt;=4,
"Outstanding Participation. ",
IF(V33&gt;=2,
"Good Participation. ",
"Needs improvement in Participation. "))) &amp;
IF(W33=0,
"Communication not attempted. Focus on expressing ideas clearly.",
IF(W33&gt;=4,
"Outstanding Communication. ",
IF(W33&gt;=2,
"Good Communication. ",
"Needs improvement in Communication. "))) &amp;
IF(X33=0,
"Presence of Mind not attempted. Work on staying alert during discussions.",
IF(X33&gt;=4,
"Outstanding Presence of Mind. ",
IF(X33&gt;=2,
"Good Presence of Mind. ",
"Needs improvement in Presence of Mind. "))) &amp;
IF(Y33=0,
"Presentation not attempted. Enhance your presentation skills.",
IF(Y33&gt;=4,
"Outstanding Presentation. ",
IF(Y33&gt;=2,
"Good Presentation. ",
"Needs improvement in Presentation. "))))</f>
        <v xml:space="preserve">Good Participation. Good Communication. Good Presence of Mind. Good Presentation. </v>
      </c>
      <c r="AD33" s="43">
        <v>0</v>
      </c>
      <c r="AE33" s="11">
        <v>0</v>
      </c>
      <c r="AF33" s="82">
        <v>0</v>
      </c>
      <c r="AG33" s="5">
        <v>0</v>
      </c>
      <c r="AH33" s="19">
        <f>SUM(AD33:AG33)</f>
        <v>0</v>
      </c>
      <c r="AI33" s="73" t="s">
        <v>259</v>
      </c>
      <c r="AJ33" s="76">
        <v>20</v>
      </c>
      <c r="AK33" s="45" t="str">
        <f>IF(AND(AD33=0,AE33=0,AF33=0,AG33=0),
"HR Round not attempted. It's essential to participate in all assessments.",
IF(AD33=0,
"Values not attempted. Reflect on your core values.",
IF(AD33&gt;=4,
"Outstanding understanding of Values. ",
IF(AD33&gt;=2,
"Good understanding of Values. ",
"Needs improvement in understanding Values. "))) &amp;
IF(AE33=0,
"Career Goal not attempted. Define your career objectives clearly.",
IF(AE33&gt;=4,
"Outstanding clarity in Career Goals. ",
IF(AE33&gt;=2,
"Good clarity in Career Goals. ",
"Needs improvement in defining Career Goals. "))) &amp;
IF(AF33=0,
"Behavior Skills not attempted. Work on interpersonal skills.",
IF(AF33&gt;=4,
"Outstanding Behavior Skills. ",
IF(AF33&gt;=2,
"Good Behavior Skills. ",
"Needs improvement in Behavior Skills. "))) &amp;
IF(AG33=0,
"Role Fitment not attempted. Assess your fit for the role.",
IF(AG33&gt;=4,
"Outstanding Role Fitment. ",
IF(AG33&gt;=2,
"Good Role Fitment. ",
"Needs improvement in Role Fitment. "))))</f>
        <v>HR Round not attempted. It's essential to participate in all assessments.</v>
      </c>
      <c r="AL33" s="65">
        <f>SUM(J33,R33,Z33,AH33)</f>
        <v>62.15</v>
      </c>
      <c r="AM33" s="57">
        <v>62.15</v>
      </c>
      <c r="AN33" s="70">
        <v>150</v>
      </c>
      <c r="AO33" s="57">
        <v>29</v>
      </c>
      <c r="AP33" s="52" t="str">
        <f>IF(AND(J33=0,R33=0,Z33=0,AH33=0),
"No participation in any assessment. Please ensure participation in future evaluations.",
IF(J33=0,
"Online Assessment not attempted. Focus on improving basic skills.",
IF(J33&gt;=67.5,
"Outstanding performance in Online Assessment. ",
IF(J33&gt;=45,
"Good performance in Online Assessment. ",
"Needs improvement in Online Assessment. "))) &amp;
IF(R33=0,
"Personal Interview not attempted. Active engagement is essential.",
IF(R33&gt;=16,
"Outstanding performance in Personal Interview. ",
IF(R33&gt;=10,
"Good performance in Personal Interview. ",
"Needs improvement in Personal Interview. "))) &amp;
IF(Z33=0,
"GD Round not attempted. Active participation is crucial.",
IF(Z33&gt;=16,
"Outstanding performance in GD Round. ",
IF(Z33&gt;=10,
"Good performance in GD Round. ",
"Needs improvement in GD Round. "))) &amp;
IF(AH33=0,
"HR Round not attempted. Engage in the assessment process.",
IF(AH33&gt;=16,
"Outstanding performance in HR Round. ",
IF(AH33&gt;=10,
"Good performance in HR Round. ",
"Needs improvement in HR Round."))))</f>
        <v>Good performance in Online Assessment. Personal Interview not attempted. Active engagement is essential.Needs improvement in GD Round. HR Round not attempted. Engage in the assessment process.</v>
      </c>
    </row>
    <row r="34" spans="1:42" ht="13">
      <c r="A34">
        <v>31</v>
      </c>
      <c r="B34" s="39" t="s">
        <v>169</v>
      </c>
      <c r="C34" s="40" t="s">
        <v>170</v>
      </c>
      <c r="D34" s="40">
        <v>8894372620</v>
      </c>
      <c r="E34" s="7" t="s">
        <v>253</v>
      </c>
      <c r="F34" s="7"/>
      <c r="G34" s="7"/>
      <c r="H34" s="7">
        <v>13.6</v>
      </c>
      <c r="I34" s="7">
        <v>34</v>
      </c>
      <c r="J34" s="28">
        <f>SUM(H34:I34)</f>
        <v>47.6</v>
      </c>
      <c r="K34" s="56">
        <v>47.6</v>
      </c>
      <c r="L34" s="28">
        <v>90</v>
      </c>
      <c r="M34" s="28" t="str">
        <f>IF(H34=0,
"Aptitude section not attempted. ",
IF(H34&gt;=33.75,
"Outstanding performance in Aptitude. ",
IF(H34&gt;=22.5,
"Good performance in Aptitude. ",
"Needs improvement in Aptitude. "))) &amp;
IF(I34=0,
" General MBA Questions section not attempted. ",
IF(I34&gt;=33.75,
" Outstanding performance in General MBA Questions. ",
IF(I34&gt;=22.5,
" Good performance in General MBA Questions. ",
" Needs improvement in General MBA Questions. ")))</f>
        <v xml:space="preserve">Needs improvement in Aptitude.  Outstanding performance in General MBA Questions. </v>
      </c>
      <c r="N34" s="11">
        <v>0</v>
      </c>
      <c r="O34" s="11">
        <v>0</v>
      </c>
      <c r="P34" s="11">
        <v>0</v>
      </c>
      <c r="Q34" s="11">
        <v>0</v>
      </c>
      <c r="R34" s="41">
        <f>SUM(N34:Q34)</f>
        <v>0</v>
      </c>
      <c r="S34" s="60" t="s">
        <v>259</v>
      </c>
      <c r="T34" s="41">
        <v>20</v>
      </c>
      <c r="U34" s="45" t="str">
        <f>IF(AND(N34=0,O34=0,P34=0,Q34=0),
"Personal Interview not attempted. Please ensure participation next time.",
IF(N34=0,
"Self Expression not attempted. Focus on articulating thoughts clearly.",
IF(N34&gt;=4,
"Outstanding Self Expression. ",
IF(N34&gt;=2,
"Good Self Expression. ",
"Needs improvement in Self Expression. "))) &amp;
IF(O34=0,
"Domain Knowledge not attempted. Focus on relevant topics.",
IF(O34&gt;=4,
"Outstanding performance in Domain Knowledge. ",
IF(O34&gt;=2,
"Good performance in Domain Knowledge. ",
"Needs improvement in Domain Knowledge. "))) &amp;
IF(P34=0,
"Thought Process not attempted. Work on organizing your thoughts.",
IF(P34&gt;=4,
"Outstanding Thought Process. ",
IF(P34&gt;=2,
"Good Thought Process. ",
"Needs improvement in Thought Process. "))) &amp;
IF(Q34=0,
"Problem Solving Skills not attempted. Focus on practice.",
IF(Q34&gt;=4,
"Outstanding Problem Solving Skills. ",
IF(Q34&gt;=2,
"Good Problem Solving Skills. ",
"Needs improvement in Problem Solving Skills. "))))</f>
        <v>Personal Interview not attempted. Please ensure participation next time.</v>
      </c>
      <c r="V34" s="43">
        <v>3</v>
      </c>
      <c r="W34" s="11">
        <v>3</v>
      </c>
      <c r="X34" s="3">
        <v>2</v>
      </c>
      <c r="Y34" s="87">
        <v>3</v>
      </c>
      <c r="Z34" s="3">
        <f>SUM(V34:Y34)</f>
        <v>11</v>
      </c>
      <c r="AA34" s="57">
        <v>11</v>
      </c>
      <c r="AB34" s="69">
        <v>20</v>
      </c>
      <c r="AC34" s="7" t="str">
        <f>IF(AND(V34=0,W34=0,X34=0,Y34=0),
"GD Round not attempted. Active participation is crucial.",
IF(V34=0,
"Participation not attempted. Engage more in discussions.",
IF(V34&gt;=4,
"Outstanding Participation. ",
IF(V34&gt;=2,
"Good Participation. ",
"Needs improvement in Participation. "))) &amp;
IF(W34=0,
"Communication not attempted. Focus on expressing ideas clearly.",
IF(W34&gt;=4,
"Outstanding Communication. ",
IF(W34&gt;=2,
"Good Communication. ",
"Needs improvement in Communication. "))) &amp;
IF(X34=0,
"Presence of Mind not attempted. Work on staying alert during discussions.",
IF(X34&gt;=4,
"Outstanding Presence of Mind. ",
IF(X34&gt;=2,
"Good Presence of Mind. ",
"Needs improvement in Presence of Mind. "))) &amp;
IF(Y34=0,
"Presentation not attempted. Enhance your presentation skills.",
IF(Y34&gt;=4,
"Outstanding Presentation. ",
IF(Y34&gt;=2,
"Good Presentation. ",
"Needs improvement in Presentation. "))))</f>
        <v xml:space="preserve">Good Participation. Good Communication. Good Presence of Mind. Good Presentation. </v>
      </c>
      <c r="AD34" s="46">
        <v>3</v>
      </c>
      <c r="AE34" s="7">
        <v>3</v>
      </c>
      <c r="AF34">
        <v>3</v>
      </c>
      <c r="AG34" s="26">
        <v>3</v>
      </c>
      <c r="AH34" s="19">
        <f>SUM(AD34:AG34)</f>
        <v>12</v>
      </c>
      <c r="AI34" s="73">
        <v>12</v>
      </c>
      <c r="AJ34" s="76">
        <v>20</v>
      </c>
      <c r="AK34" s="45" t="str">
        <f>IF(AND(AD34=0,AE34=0,AF34=0,AG34=0),
"HR Round not attempted. It's essential to participate in all assessments.",
IF(AD34=0,
"Values not attempted. Reflect on your core values.",
IF(AD34&gt;=4,
"Outstanding understanding of Values. ",
IF(AD34&gt;=2,
"Good understanding of Values. ",
"Needs improvement in understanding Values. "))) &amp;
IF(AE34=0,
"Career Goal not attempted. Define your career objectives clearly.",
IF(AE34&gt;=4,
"Outstanding clarity in Career Goals. ",
IF(AE34&gt;=2,
"Good clarity in Career Goals. ",
"Needs improvement in defining Career Goals. "))) &amp;
IF(AF34=0,
"Behavior Skills not attempted. Work on interpersonal skills.",
IF(AF34&gt;=4,
"Outstanding Behavior Skills. ",
IF(AF34&gt;=2,
"Good Behavior Skills. ",
"Needs improvement in Behavior Skills. "))) &amp;
IF(AG34=0,
"Role Fitment not attempted. Assess your fit for the role.",
IF(AG34&gt;=4,
"Outstanding Role Fitment. ",
IF(AG34&gt;=2,
"Good Role Fitment. ",
"Needs improvement in Role Fitment. "))))</f>
        <v xml:space="preserve">Good understanding of Values. Good clarity in Career Goals. Good Behavior Skills. Good Role Fitment. </v>
      </c>
      <c r="AL34" s="65">
        <f>SUM(J34,R34,Z34,AH34)</f>
        <v>70.599999999999994</v>
      </c>
      <c r="AM34" s="57">
        <v>70.599999999999994</v>
      </c>
      <c r="AN34" s="70">
        <v>150</v>
      </c>
      <c r="AO34" s="57">
        <v>17</v>
      </c>
      <c r="AP34" s="52" t="str">
        <f>IF(AND(J34=0,R34=0,Z34=0,AH34=0),
"No participation in any assessment. Please ensure participation in future evaluations.",
IF(J34=0,
"Online Assessment not attempted. Focus on improving basic skills.",
IF(J34&gt;=67.5,
"Outstanding performance in Online Assessment. ",
IF(J34&gt;=45,
"Good performance in Online Assessment. ",
"Needs improvement in Online Assessment. "))) &amp;
IF(R34=0,
"Personal Interview not attempted. Active engagement is essential.",
IF(R34&gt;=16,
"Outstanding performance in Personal Interview. ",
IF(R34&gt;=10,
"Good performance in Personal Interview. ",
"Needs improvement in Personal Interview. "))) &amp;
IF(Z34=0,
"GD Round not attempted. Active participation is crucial.",
IF(Z34&gt;=16,
"Outstanding performance in GD Round. ",
IF(Z34&gt;=10,
"Good performance in GD Round. ",
"Needs improvement in GD Round. "))) &amp;
IF(AH34=0,
"HR Round not attempted. Engage in the assessment process.",
IF(AH34&gt;=16,
"Outstanding performance in HR Round. ",
IF(AH34&gt;=10,
"Good performance in HR Round. ",
"Needs improvement in HR Round."))))</f>
        <v xml:space="preserve">Good performance in Online Assessment. Personal Interview not attempted. Active engagement is essential.Good performance in GD Round. Good performance in HR Round. </v>
      </c>
    </row>
    <row r="35" spans="1:42" ht="13">
      <c r="A35">
        <v>32</v>
      </c>
      <c r="B35" s="39" t="s">
        <v>146</v>
      </c>
      <c r="C35" s="40" t="s">
        <v>147</v>
      </c>
      <c r="D35" s="40">
        <v>9878519604</v>
      </c>
      <c r="E35" s="7" t="s">
        <v>253</v>
      </c>
      <c r="F35" s="7"/>
      <c r="G35" s="7"/>
      <c r="H35" s="7">
        <v>14.7</v>
      </c>
      <c r="I35" s="7">
        <v>22</v>
      </c>
      <c r="J35" s="28">
        <f>SUM(H35:I35)</f>
        <v>36.700000000000003</v>
      </c>
      <c r="K35" s="56">
        <v>36.700000000000003</v>
      </c>
      <c r="L35" s="28">
        <v>90</v>
      </c>
      <c r="M35" s="28" t="str">
        <f>IF(H35=0,
"Aptitude section not attempted. ",
IF(H35&gt;=33.75,
"Outstanding performance in Aptitude. ",
IF(H35&gt;=22.5,
"Good performance in Aptitude. ",
"Needs improvement in Aptitude. "))) &amp;
IF(I35=0,
" General MBA Questions section not attempted. ",
IF(I35&gt;=33.75,
" Outstanding performance in General MBA Questions. ",
IF(I35&gt;=22.5,
" Good performance in General MBA Questions. ",
" Needs improvement in General MBA Questions. ")))</f>
        <v xml:space="preserve">Needs improvement in Aptitude.  Needs improvement in General MBA Questions. </v>
      </c>
      <c r="N35" s="11">
        <v>4</v>
      </c>
      <c r="O35" s="11">
        <v>3</v>
      </c>
      <c r="P35" s="11">
        <v>3</v>
      </c>
      <c r="Q35" s="11">
        <v>3</v>
      </c>
      <c r="R35" s="41">
        <f>SUM(N35:Q35)</f>
        <v>13</v>
      </c>
      <c r="S35" s="60">
        <v>13</v>
      </c>
      <c r="T35" s="41">
        <v>20</v>
      </c>
      <c r="U35" s="45" t="str">
        <f>IF(AND(N35=0,O35=0,P35=0,Q35=0),
"Personal Interview not attempted. Please ensure participation next time.",
IF(N35=0,
"Self Expression not attempted. Focus on articulating thoughts clearly.",
IF(N35&gt;=4,
"Outstanding Self Expression. ",
IF(N35&gt;=2,
"Good Self Expression. ",
"Needs improvement in Self Expression. "))) &amp;
IF(O35=0,
"Domain Knowledge not attempted. Focus on relevant topics.",
IF(O35&gt;=4,
"Outstanding performance in Domain Knowledge. ",
IF(O35&gt;=2,
"Good performance in Domain Knowledge. ",
"Needs improvement in Domain Knowledge. "))) &amp;
IF(P35=0,
"Thought Process not attempted. Work on organizing your thoughts.",
IF(P35&gt;=4,
"Outstanding Thought Process. ",
IF(P35&gt;=2,
"Good Thought Process. ",
"Needs improvement in Thought Process. "))) &amp;
IF(Q35=0,
"Problem Solving Skills not attempted. Focus on practice.",
IF(Q35&gt;=4,
"Outstanding Problem Solving Skills. ",
IF(Q35&gt;=2,
"Good Problem Solving Skills. ",
"Needs improvement in Problem Solving Skills. "))))</f>
        <v xml:space="preserve">Outstanding Self Expression. Good performance in Domain Knowledge. Good Thought Process. Good Problem Solving Skills. </v>
      </c>
      <c r="V35" s="43">
        <v>2</v>
      </c>
      <c r="W35" s="11">
        <v>2</v>
      </c>
      <c r="X35" s="3">
        <v>2</v>
      </c>
      <c r="Y35" s="25">
        <v>2</v>
      </c>
      <c r="Z35" s="3">
        <f>SUM(V35:Y35)</f>
        <v>8</v>
      </c>
      <c r="AA35" s="57">
        <v>8</v>
      </c>
      <c r="AB35" s="69">
        <v>20</v>
      </c>
      <c r="AC35" s="7" t="str">
        <f>IF(AND(V35=0,W35=0,X35=0,Y35=0),
"GD Round not attempted. Active participation is crucial.",
IF(V35=0,
"Participation not attempted. Engage more in discussions.",
IF(V35&gt;=4,
"Outstanding Participation. ",
IF(V35&gt;=2,
"Good Participation. ",
"Needs improvement in Participation. "))) &amp;
IF(W35=0,
"Communication not attempted. Focus on expressing ideas clearly.",
IF(W35&gt;=4,
"Outstanding Communication. ",
IF(W35&gt;=2,
"Good Communication. ",
"Needs improvement in Communication. "))) &amp;
IF(X35=0,
"Presence of Mind not attempted. Work on staying alert during discussions.",
IF(X35&gt;=4,
"Outstanding Presence of Mind. ",
IF(X35&gt;=2,
"Good Presence of Mind. ",
"Needs improvement in Presence of Mind. "))) &amp;
IF(Y35=0,
"Presentation not attempted. Enhance your presentation skills.",
IF(Y35&gt;=4,
"Outstanding Presentation. ",
IF(Y35&gt;=2,
"Good Presentation. ",
"Needs improvement in Presentation. "))))</f>
        <v xml:space="preserve">Good Participation. Good Communication. Good Presence of Mind. Good Presentation. </v>
      </c>
      <c r="AD35" s="43">
        <v>0</v>
      </c>
      <c r="AE35" s="11">
        <v>0</v>
      </c>
      <c r="AF35" s="90">
        <v>0</v>
      </c>
      <c r="AG35" s="26">
        <v>0</v>
      </c>
      <c r="AH35" s="19">
        <f>SUM(AD35:AG35)</f>
        <v>0</v>
      </c>
      <c r="AI35" s="73" t="s">
        <v>259</v>
      </c>
      <c r="AJ35" s="76">
        <v>20</v>
      </c>
      <c r="AK35" s="45" t="str">
        <f>IF(AND(AD35=0,AE35=0,AF35=0,AG35=0),
"HR Round not attempted. It's essential to participate in all assessments.",
IF(AD35=0,
"Values not attempted. Reflect on your core values.",
IF(AD35&gt;=4,
"Outstanding understanding of Values. ",
IF(AD35&gt;=2,
"Good understanding of Values. ",
"Needs improvement in understanding Values. "))) &amp;
IF(AE35=0,
"Career Goal not attempted. Define your career objectives clearly.",
IF(AE35&gt;=4,
"Outstanding clarity in Career Goals. ",
IF(AE35&gt;=2,
"Good clarity in Career Goals. ",
"Needs improvement in defining Career Goals. "))) &amp;
IF(AF35=0,
"Behavior Skills not attempted. Work on interpersonal skills.",
IF(AF35&gt;=4,
"Outstanding Behavior Skills. ",
IF(AF35&gt;=2,
"Good Behavior Skills. ",
"Needs improvement in Behavior Skills. "))) &amp;
IF(AG35=0,
"Role Fitment not attempted. Assess your fit for the role.",
IF(AG35&gt;=4,
"Outstanding Role Fitment. ",
IF(AG35&gt;=2,
"Good Role Fitment. ",
"Needs improvement in Role Fitment. "))))</f>
        <v>HR Round not attempted. It's essential to participate in all assessments.</v>
      </c>
      <c r="AL35" s="65">
        <f>SUM(J35,R35,Z35,AH35)</f>
        <v>57.7</v>
      </c>
      <c r="AM35" s="57">
        <v>57.7</v>
      </c>
      <c r="AN35" s="70">
        <v>150</v>
      </c>
      <c r="AO35" s="57">
        <v>41</v>
      </c>
      <c r="AP35" s="52" t="str">
        <f>IF(AND(J35=0,R35=0,Z35=0,AH35=0),
"No participation in any assessment. Please ensure participation in future evaluations.",
IF(J35=0,
"Online Assessment not attempted. Focus on improving basic skills.",
IF(J35&gt;=67.5,
"Outstanding performance in Online Assessment. ",
IF(J35&gt;=45,
"Good performance in Online Assessment. ",
"Needs improvement in Online Assessment. "))) &amp;
IF(R35=0,
"Personal Interview not attempted. Active engagement is essential.",
IF(R35&gt;=16,
"Outstanding performance in Personal Interview. ",
IF(R35&gt;=10,
"Good performance in Personal Interview. ",
"Needs improvement in Personal Interview. "))) &amp;
IF(Z35=0,
"GD Round not attempted. Active participation is crucial.",
IF(Z35&gt;=16,
"Outstanding performance in GD Round. ",
IF(Z35&gt;=10,
"Good performance in GD Round. ",
"Needs improvement in GD Round. "))) &amp;
IF(AH35=0,
"HR Round not attempted. Engage in the assessment process.",
IF(AH35&gt;=16,
"Outstanding performance in HR Round. ",
IF(AH35&gt;=10,
"Good performance in HR Round. ",
"Needs improvement in HR Round."))))</f>
        <v>Needs improvement in Online Assessment. Good performance in Personal Interview. Needs improvement in GD Round. HR Round not attempted. Engage in the assessment process.</v>
      </c>
    </row>
    <row r="36" spans="1:42" ht="13">
      <c r="A36">
        <v>33</v>
      </c>
      <c r="B36" s="39" t="s">
        <v>45</v>
      </c>
      <c r="C36" s="40" t="s">
        <v>46</v>
      </c>
      <c r="D36" s="40">
        <v>8283829562</v>
      </c>
      <c r="E36" s="7" t="s">
        <v>253</v>
      </c>
      <c r="F36" s="6"/>
      <c r="G36" s="6"/>
      <c r="H36" s="7">
        <v>15.05</v>
      </c>
      <c r="I36" s="7">
        <v>26</v>
      </c>
      <c r="J36" s="28">
        <f>SUM(H36:I36)</f>
        <v>41.05</v>
      </c>
      <c r="K36" s="56">
        <v>41.05</v>
      </c>
      <c r="L36" s="28">
        <v>90</v>
      </c>
      <c r="M36" s="28" t="str">
        <f>IF(H36=0,
"Aptitude section not attempted. ",
IF(H36&gt;=33.75,
"Outstanding performance in Aptitude. ",
IF(H36&gt;=22.5,
"Good performance in Aptitude. ",
"Needs improvement in Aptitude. "))) &amp;
IF(I36=0,
" General MBA Questions section not attempted. ",
IF(I36&gt;=33.75,
" Outstanding performance in General MBA Questions. ",
IF(I36&gt;=22.5,
" Good performance in General MBA Questions. ",
" Needs improvement in General MBA Questions. ")))</f>
        <v xml:space="preserve">Needs improvement in Aptitude.  Good performance in General MBA Questions. </v>
      </c>
      <c r="N36" s="11">
        <v>3</v>
      </c>
      <c r="O36" s="11">
        <v>2</v>
      </c>
      <c r="P36" s="11">
        <v>3</v>
      </c>
      <c r="Q36" s="11">
        <v>3</v>
      </c>
      <c r="R36" s="41">
        <f>SUM(N36:Q36)</f>
        <v>11</v>
      </c>
      <c r="S36" s="60">
        <v>11</v>
      </c>
      <c r="T36" s="41">
        <v>20</v>
      </c>
      <c r="U36" s="45" t="str">
        <f>IF(AND(N36=0,O36=0,P36=0,Q36=0),
"Personal Interview not attempted. Please ensure participation next time.",
IF(N36=0,
"Self Expression not attempted. Focus on articulating thoughts clearly.",
IF(N36&gt;=4,
"Outstanding Self Expression. ",
IF(N36&gt;=2,
"Good Self Expression. ",
"Needs improvement in Self Expression. "))) &amp;
IF(O36=0,
"Domain Knowledge not attempted. Focus on relevant topics.",
IF(O36&gt;=4,
"Outstanding performance in Domain Knowledge. ",
IF(O36&gt;=2,
"Good performance in Domain Knowledge. ",
"Needs improvement in Domain Knowledge. "))) &amp;
IF(P36=0,
"Thought Process not attempted. Work on organizing your thoughts.",
IF(P36&gt;=4,
"Outstanding Thought Process. ",
IF(P36&gt;=2,
"Good Thought Process. ",
"Needs improvement in Thought Process. "))) &amp;
IF(Q36=0,
"Problem Solving Skills not attempted. Focus on practice.",
IF(Q36&gt;=4,
"Outstanding Problem Solving Skills. ",
IF(Q36&gt;=2,
"Good Problem Solving Skills. ",
"Needs improvement in Problem Solving Skills. "))))</f>
        <v xml:space="preserve">Good Self Expression. Good performance in Domain Knowledge. Good Thought Process. Good Problem Solving Skills. </v>
      </c>
      <c r="V36" s="43">
        <v>2</v>
      </c>
      <c r="W36" s="11">
        <v>2</v>
      </c>
      <c r="X36" s="3">
        <v>3</v>
      </c>
      <c r="Y36">
        <v>2</v>
      </c>
      <c r="Z36" s="3">
        <f>SUM(V36:Y36)</f>
        <v>9</v>
      </c>
      <c r="AA36" s="57">
        <v>9</v>
      </c>
      <c r="AB36" s="69">
        <v>20</v>
      </c>
      <c r="AC36" s="7" t="str">
        <f>IF(AND(V36=0,W36=0,X36=0,Y36=0),
"GD Round not attempted. Active participation is crucial.",
IF(V36=0,
"Participation not attempted. Engage more in discussions.",
IF(V36&gt;=4,
"Outstanding Participation. ",
IF(V36&gt;=2,
"Good Participation. ",
"Needs improvement in Participation. "))) &amp;
IF(W36=0,
"Communication not attempted. Focus on expressing ideas clearly.",
IF(W36&gt;=4,
"Outstanding Communication. ",
IF(W36&gt;=2,
"Good Communication. ",
"Needs improvement in Communication. "))) &amp;
IF(X36=0,
"Presence of Mind not attempted. Work on staying alert during discussions.",
IF(X36&gt;=4,
"Outstanding Presence of Mind. ",
IF(X36&gt;=2,
"Good Presence of Mind. ",
"Needs improvement in Presence of Mind. "))) &amp;
IF(Y36=0,
"Presentation not attempted. Enhance your presentation skills.",
IF(Y36&gt;=4,
"Outstanding Presentation. ",
IF(Y36&gt;=2,
"Good Presentation. ",
"Needs improvement in Presentation. "))))</f>
        <v xml:space="preserve">Good Participation. Good Communication. Good Presence of Mind. Good Presentation. </v>
      </c>
      <c r="AD36" s="43">
        <v>0</v>
      </c>
      <c r="AE36" s="11">
        <v>0</v>
      </c>
      <c r="AF36" s="82">
        <v>0</v>
      </c>
      <c r="AG36" s="5">
        <v>0</v>
      </c>
      <c r="AH36" s="19">
        <f>SUM(AD36:AG36)</f>
        <v>0</v>
      </c>
      <c r="AI36" s="73" t="s">
        <v>259</v>
      </c>
      <c r="AJ36" s="76">
        <v>20</v>
      </c>
      <c r="AK36" s="45" t="str">
        <f>IF(AND(AD36=0,AE36=0,AF36=0,AG36=0),
"HR Round not attempted. It's essential to participate in all assessments.",
IF(AD36=0,
"Values not attempted. Reflect on your core values.",
IF(AD36&gt;=4,
"Outstanding understanding of Values. ",
IF(AD36&gt;=2,
"Good understanding of Values. ",
"Needs improvement in understanding Values. "))) &amp;
IF(AE36=0,
"Career Goal not attempted. Define your career objectives clearly.",
IF(AE36&gt;=4,
"Outstanding clarity in Career Goals. ",
IF(AE36&gt;=2,
"Good clarity in Career Goals. ",
"Needs improvement in defining Career Goals. "))) &amp;
IF(AF36=0,
"Behavior Skills not attempted. Work on interpersonal skills.",
IF(AF36&gt;=4,
"Outstanding Behavior Skills. ",
IF(AF36&gt;=2,
"Good Behavior Skills. ",
"Needs improvement in Behavior Skills. "))) &amp;
IF(AG36=0,
"Role Fitment not attempted. Assess your fit for the role.",
IF(AG36&gt;=4,
"Outstanding Role Fitment. ",
IF(AG36&gt;=2,
"Good Role Fitment. ",
"Needs improvement in Role Fitment. "))))</f>
        <v>HR Round not attempted. It's essential to participate in all assessments.</v>
      </c>
      <c r="AL36" s="65">
        <f>SUM(J36,R36,Z36,AH36)</f>
        <v>61.05</v>
      </c>
      <c r="AM36" s="57">
        <v>61.05</v>
      </c>
      <c r="AN36" s="70">
        <v>150</v>
      </c>
      <c r="AO36" s="57">
        <v>31</v>
      </c>
      <c r="AP36" s="52" t="str">
        <f>IF(AND(J36=0,R36=0,Z36=0,AH36=0),
"No participation in any assessment. Please ensure participation in future evaluations.",
IF(J36=0,
"Online Assessment not attempted. Focus on improving basic skills.",
IF(J36&gt;=67.5,
"Outstanding performance in Online Assessment. ",
IF(J36&gt;=45,
"Good performance in Online Assessment. ",
"Needs improvement in Online Assessment. "))) &amp;
IF(R36=0,
"Personal Interview not attempted. Active engagement is essential.",
IF(R36&gt;=16,
"Outstanding performance in Personal Interview. ",
IF(R36&gt;=10,
"Good performance in Personal Interview. ",
"Needs improvement in Personal Interview. "))) &amp;
IF(Z36=0,
"GD Round not attempted. Active participation is crucial.",
IF(Z36&gt;=16,
"Outstanding performance in GD Round. ",
IF(Z36&gt;=10,
"Good performance in GD Round. ",
"Needs improvement in GD Round. "))) &amp;
IF(AH36=0,
"HR Round not attempted. Engage in the assessment process.",
IF(AH36&gt;=16,
"Outstanding performance in HR Round. ",
IF(AH36&gt;=10,
"Good performance in HR Round. ",
"Needs improvement in HR Round."))))</f>
        <v>Needs improvement in Online Assessment. Good performance in Personal Interview. Needs improvement in GD Round. HR Round not attempted. Engage in the assessment process.</v>
      </c>
    </row>
    <row r="37" spans="1:42" ht="13">
      <c r="A37">
        <v>34</v>
      </c>
      <c r="B37" s="39" t="s">
        <v>94</v>
      </c>
      <c r="C37" s="40" t="s">
        <v>95</v>
      </c>
      <c r="D37" s="40">
        <v>7988844568</v>
      </c>
      <c r="E37" s="7" t="s">
        <v>253</v>
      </c>
      <c r="F37" s="4"/>
      <c r="G37" s="4"/>
      <c r="H37" s="7">
        <v>0</v>
      </c>
      <c r="I37" s="7">
        <v>0</v>
      </c>
      <c r="J37" s="28">
        <f>SUM(H37:I37)</f>
        <v>0</v>
      </c>
      <c r="K37" s="56" t="s">
        <v>259</v>
      </c>
      <c r="L37" s="28">
        <v>90</v>
      </c>
      <c r="M37" s="28" t="str">
        <f>IF(H37=0,
"Aptitude section not attempted. ",
IF(H37&gt;=33.75,
"Outstanding performance in Aptitude. ",
IF(H37&gt;=22.5,
"Good performance in Aptitude. ",
"Needs improvement in Aptitude. "))) &amp;
IF(I37=0,
" General MBA Questions section not attempted. ",
IF(I37&gt;=33.75,
" Outstanding performance in General MBA Questions. ",
IF(I37&gt;=22.5,
" Good performance in General MBA Questions. ",
" Needs improvement in General MBA Questions. ")))</f>
        <v xml:space="preserve">Aptitude section not attempted.  General MBA Questions section not attempted. </v>
      </c>
      <c r="N37" s="11">
        <v>0</v>
      </c>
      <c r="O37" s="11">
        <v>0</v>
      </c>
      <c r="P37" s="11">
        <v>0</v>
      </c>
      <c r="Q37" s="11">
        <v>0</v>
      </c>
      <c r="R37" s="41">
        <f>SUM(N37:Q37)</f>
        <v>0</v>
      </c>
      <c r="S37" s="60" t="s">
        <v>259</v>
      </c>
      <c r="T37" s="41">
        <v>20</v>
      </c>
      <c r="U37" s="45" t="str">
        <f>IF(AND(N37=0,O37=0,P37=0,Q37=0),
"Personal Interview not attempted. Please ensure participation next time.",
IF(N37=0,
"Self Expression not attempted. Focus on articulating thoughts clearly.",
IF(N37&gt;=4,
"Outstanding Self Expression. ",
IF(N37&gt;=2,
"Good Self Expression. ",
"Needs improvement in Self Expression. "))) &amp;
IF(O37=0,
"Domain Knowledge not attempted. Focus on relevant topics.",
IF(O37&gt;=4,
"Outstanding performance in Domain Knowledge. ",
IF(O37&gt;=2,
"Good performance in Domain Knowledge. ",
"Needs improvement in Domain Knowledge. "))) &amp;
IF(P37=0,
"Thought Process not attempted. Work on organizing your thoughts.",
IF(P37&gt;=4,
"Outstanding Thought Process. ",
IF(P37&gt;=2,
"Good Thought Process. ",
"Needs improvement in Thought Process. "))) &amp;
IF(Q37=0,
"Problem Solving Skills not attempted. Focus on practice.",
IF(Q37&gt;=4,
"Outstanding Problem Solving Skills. ",
IF(Q37&gt;=2,
"Good Problem Solving Skills. ",
"Needs improvement in Problem Solving Skills. "))))</f>
        <v>Personal Interview not attempted. Please ensure participation next time.</v>
      </c>
      <c r="V37" s="43">
        <v>0</v>
      </c>
      <c r="W37" s="11">
        <v>0</v>
      </c>
      <c r="X37" s="3">
        <v>0</v>
      </c>
      <c r="Y37" s="26">
        <v>0</v>
      </c>
      <c r="Z37" s="3">
        <f>SUM(V37:Y37)</f>
        <v>0</v>
      </c>
      <c r="AA37" s="64" t="s">
        <v>259</v>
      </c>
      <c r="AB37" s="69">
        <v>20</v>
      </c>
      <c r="AC37" s="7" t="str">
        <f>IF(AND(V37=0,W37=0,X37=0,Y37=0),
"GD Round not attempted. Active participation is crucial.",
IF(V37=0,
"Participation not attempted. Engage more in discussions.",
IF(V37&gt;=4,
"Outstanding Participation. ",
IF(V37&gt;=2,
"Good Participation. ",
"Needs improvement in Participation. "))) &amp;
IF(W37=0,
"Communication not attempted. Focus on expressing ideas clearly.",
IF(W37&gt;=4,
"Outstanding Communication. ",
IF(W37&gt;=2,
"Good Communication. ",
"Needs improvement in Communication. "))) &amp;
IF(X37=0,
"Presence of Mind not attempted. Work on staying alert during discussions.",
IF(X37&gt;=4,
"Outstanding Presence of Mind. ",
IF(X37&gt;=2,
"Good Presence of Mind. ",
"Needs improvement in Presence of Mind. "))) &amp;
IF(Y37=0,
"Presentation not attempted. Enhance your presentation skills.",
IF(Y37&gt;=4,
"Outstanding Presentation. ",
IF(Y37&gt;=2,
"Good Presentation. ",
"Needs improvement in Presentation. "))))</f>
        <v>GD Round not attempted. Active participation is crucial.</v>
      </c>
      <c r="AD37" s="43">
        <v>0</v>
      </c>
      <c r="AE37" s="11">
        <v>0</v>
      </c>
      <c r="AF37" s="3">
        <v>0</v>
      </c>
      <c r="AG37" s="26">
        <v>0</v>
      </c>
      <c r="AH37" s="19">
        <f>SUM(AD37:AG37)</f>
        <v>0</v>
      </c>
      <c r="AI37" s="73" t="s">
        <v>259</v>
      </c>
      <c r="AJ37" s="76">
        <v>20</v>
      </c>
      <c r="AK37" s="45" t="str">
        <f>IF(AND(AD37=0,AE37=0,AF37=0,AG37=0),
"HR Round not attempted. It's essential to participate in all assessments.",
IF(AD37=0,
"Values not attempted. Reflect on your core values.",
IF(AD37&gt;=4,
"Outstanding understanding of Values. ",
IF(AD37&gt;=2,
"Good understanding of Values. ",
"Needs improvement in understanding Values. "))) &amp;
IF(AE37=0,
"Career Goal not attempted. Define your career objectives clearly.",
IF(AE37&gt;=4,
"Outstanding clarity in Career Goals. ",
IF(AE37&gt;=2,
"Good clarity in Career Goals. ",
"Needs improvement in defining Career Goals. "))) &amp;
IF(AF37=0,
"Behavior Skills not attempted. Work on interpersonal skills.",
IF(AF37&gt;=4,
"Outstanding Behavior Skills. ",
IF(AF37&gt;=2,
"Good Behavior Skills. ",
"Needs improvement in Behavior Skills. "))) &amp;
IF(AG37=0,
"Role Fitment not attempted. Assess your fit for the role.",
IF(AG37&gt;=4,
"Outstanding Role Fitment. ",
IF(AG37&gt;=2,
"Good Role Fitment. ",
"Needs improvement in Role Fitment. "))))</f>
        <v>HR Round not attempted. It's essential to participate in all assessments.</v>
      </c>
      <c r="AL37" s="65">
        <f>SUM(J37,R37,Z37,AH37)</f>
        <v>0</v>
      </c>
      <c r="AM37" s="57">
        <v>0</v>
      </c>
      <c r="AN37" s="70">
        <v>150</v>
      </c>
      <c r="AO37" s="64" t="s">
        <v>259</v>
      </c>
      <c r="AP37" s="52" t="str">
        <f>IF(AND(J37=0,R37=0,Z37=0,AH37=0),
"No participation in any assessment. Please ensure participation in future evaluations.",
IF(J37=0,
"Online Assessment not attempted. Focus on improving basic skills.",
IF(J37&gt;=67.5,
"Outstanding performance in Online Assessment. ",
IF(J37&gt;=45,
"Good performance in Online Assessment. ",
"Needs improvement in Online Assessment. "))) &amp;
IF(R37=0,
"Personal Interview not attempted. Active engagement is essential.",
IF(R37&gt;=16,
"Outstanding performance in Personal Interview. ",
IF(R37&gt;=10,
"Good performance in Personal Interview. ",
"Needs improvement in Personal Interview. "))) &amp;
IF(Z37=0,
"GD Round not attempted. Active participation is crucial.",
IF(Z37&gt;=16,
"Outstanding performance in GD Round. ",
IF(Z37&gt;=10,
"Good performance in GD Round. ",
"Needs improvement in GD Round. "))) &amp;
IF(AH37=0,
"HR Round not attempted. Engage in the assessment process.",
IF(AH37&gt;=16,
"Outstanding performance in HR Round. ",
IF(AH37&gt;=10,
"Good performance in HR Round. ",
"Needs improvement in HR Round."))))</f>
        <v>No participation in any assessment. Please ensure participation in future evaluations.</v>
      </c>
    </row>
    <row r="38" spans="1:42" ht="13">
      <c r="A38">
        <v>35</v>
      </c>
      <c r="B38" s="39" t="s">
        <v>196</v>
      </c>
      <c r="C38" s="40" t="s">
        <v>197</v>
      </c>
      <c r="D38" s="40">
        <v>6284460846</v>
      </c>
      <c r="E38" s="7" t="s">
        <v>253</v>
      </c>
      <c r="F38" s="7"/>
      <c r="G38" s="7"/>
      <c r="H38" s="7">
        <v>13.25</v>
      </c>
      <c r="I38" s="7">
        <v>39</v>
      </c>
      <c r="J38" s="28">
        <f>SUM(H38:I38)</f>
        <v>52.25</v>
      </c>
      <c r="K38" s="56">
        <v>52.25</v>
      </c>
      <c r="L38" s="28">
        <v>90</v>
      </c>
      <c r="M38" s="28" t="str">
        <f>IF(H38=0,
"Aptitude section not attempted. ",
IF(H38&gt;=33.75,
"Outstanding performance in Aptitude. ",
IF(H38&gt;=22.5,
"Good performance in Aptitude. ",
"Needs improvement in Aptitude. "))) &amp;
IF(I38=0,
" General MBA Questions section not attempted. ",
IF(I38&gt;=33.75,
" Outstanding performance in General MBA Questions. ",
IF(I38&gt;=22.5,
" Good performance in General MBA Questions. ",
" Needs improvement in General MBA Questions. ")))</f>
        <v xml:space="preserve">Needs improvement in Aptitude.  Outstanding performance in General MBA Questions. </v>
      </c>
      <c r="N38" s="11">
        <v>4</v>
      </c>
      <c r="O38" s="11">
        <v>4</v>
      </c>
      <c r="P38" s="11">
        <v>4</v>
      </c>
      <c r="Q38" s="11">
        <v>4</v>
      </c>
      <c r="R38" s="41">
        <f>SUM(N38:Q38)</f>
        <v>16</v>
      </c>
      <c r="S38" s="60">
        <v>16</v>
      </c>
      <c r="T38" s="41">
        <v>20</v>
      </c>
      <c r="U38" s="45" t="str">
        <f>IF(AND(N38=0,O38=0,P38=0,Q38=0),
"Personal Interview not attempted. Please ensure participation next time.",
IF(N38=0,
"Self Expression not attempted. Focus on articulating thoughts clearly.",
IF(N38&gt;=4,
"Outstanding Self Expression. ",
IF(N38&gt;=2,
"Good Self Expression. ",
"Needs improvement in Self Expression. "))) &amp;
IF(O38=0,
"Domain Knowledge not attempted. Focus on relevant topics.",
IF(O38&gt;=4,
"Outstanding performance in Domain Knowledge. ",
IF(O38&gt;=2,
"Good performance in Domain Knowledge. ",
"Needs improvement in Domain Knowledge. "))) &amp;
IF(P38=0,
"Thought Process not attempted. Work on organizing your thoughts.",
IF(P38&gt;=4,
"Outstanding Thought Process. ",
IF(P38&gt;=2,
"Good Thought Process. ",
"Needs improvement in Thought Process. "))) &amp;
IF(Q38=0,
"Problem Solving Skills not attempted. Focus on practice.",
IF(Q38&gt;=4,
"Outstanding Problem Solving Skills. ",
IF(Q38&gt;=2,
"Good Problem Solving Skills. ",
"Needs improvement in Problem Solving Skills. "))))</f>
        <v xml:space="preserve">Outstanding Self Expression. Outstanding performance in Domain Knowledge. Outstanding Thought Process. Outstanding Problem Solving Skills. </v>
      </c>
      <c r="V38" s="43">
        <v>3</v>
      </c>
      <c r="W38" s="11">
        <v>2</v>
      </c>
      <c r="X38" s="3">
        <v>2</v>
      </c>
      <c r="Y38" s="87">
        <v>2</v>
      </c>
      <c r="Z38" s="3">
        <f>SUM(V38:Y38)</f>
        <v>9</v>
      </c>
      <c r="AA38" s="57">
        <v>9</v>
      </c>
      <c r="AB38" s="69">
        <v>20</v>
      </c>
      <c r="AC38" s="7" t="str">
        <f>IF(AND(V38=0,W38=0,X38=0,Y38=0),
"GD Round not attempted. Active participation is crucial.",
IF(V38=0,
"Participation not attempted. Engage more in discussions.",
IF(V38&gt;=4,
"Outstanding Participation. ",
IF(V38&gt;=2,
"Good Participation. ",
"Needs improvement in Participation. "))) &amp;
IF(W38=0,
"Communication not attempted. Focus on expressing ideas clearly.",
IF(W38&gt;=4,
"Outstanding Communication. ",
IF(W38&gt;=2,
"Good Communication. ",
"Needs improvement in Communication. "))) &amp;
IF(X38=0,
"Presence of Mind not attempted. Work on staying alert during discussions.",
IF(X38&gt;=4,
"Outstanding Presence of Mind. ",
IF(X38&gt;=2,
"Good Presence of Mind. ",
"Needs improvement in Presence of Mind. "))) &amp;
IF(Y38=0,
"Presentation not attempted. Enhance your presentation skills.",
IF(Y38&gt;=4,
"Outstanding Presentation. ",
IF(Y38&gt;=2,
"Good Presentation. ",
"Needs improvement in Presentation. "))))</f>
        <v xml:space="preserve">Good Participation. Good Communication. Good Presence of Mind. Good Presentation. </v>
      </c>
      <c r="AD38" s="43">
        <v>4</v>
      </c>
      <c r="AE38" s="11">
        <v>2</v>
      </c>
      <c r="AF38" s="82">
        <v>4</v>
      </c>
      <c r="AG38" s="5">
        <v>3</v>
      </c>
      <c r="AH38" s="19">
        <f>SUM(AD38:AG38)</f>
        <v>13</v>
      </c>
      <c r="AI38" s="73">
        <v>13</v>
      </c>
      <c r="AJ38" s="76">
        <v>20</v>
      </c>
      <c r="AK38" s="45" t="str">
        <f>IF(AND(AD38=0,AE38=0,AF38=0,AG38=0),
"HR Round not attempted. It's essential to participate in all assessments.",
IF(AD38=0,
"Values not attempted. Reflect on your core values.",
IF(AD38&gt;=4,
"Outstanding understanding of Values. ",
IF(AD38&gt;=2,
"Good understanding of Values. ",
"Needs improvement in understanding Values. "))) &amp;
IF(AE38=0,
"Career Goal not attempted. Define your career objectives clearly.",
IF(AE38&gt;=4,
"Outstanding clarity in Career Goals. ",
IF(AE38&gt;=2,
"Good clarity in Career Goals. ",
"Needs improvement in defining Career Goals. "))) &amp;
IF(AF38=0,
"Behavior Skills not attempted. Work on interpersonal skills.",
IF(AF38&gt;=4,
"Outstanding Behavior Skills. ",
IF(AF38&gt;=2,
"Good Behavior Skills. ",
"Needs improvement in Behavior Skills. "))) &amp;
IF(AG38=0,
"Role Fitment not attempted. Assess your fit for the role.",
IF(AG38&gt;=4,
"Outstanding Role Fitment. ",
IF(AG38&gt;=2,
"Good Role Fitment. ",
"Needs improvement in Role Fitment. "))))</f>
        <v xml:space="preserve">Outstanding understanding of Values. Good clarity in Career Goals. Outstanding Behavior Skills. Good Role Fitment. </v>
      </c>
      <c r="AL38" s="65">
        <f>SUM(J38,R38,Z38,AH38)</f>
        <v>90.25</v>
      </c>
      <c r="AM38" s="57">
        <v>90.25</v>
      </c>
      <c r="AN38" s="70">
        <v>150</v>
      </c>
      <c r="AO38" s="57">
        <v>4</v>
      </c>
      <c r="AP38" s="52" t="str">
        <f>IF(AND(J38=0,R38=0,Z38=0,AH38=0),
"No participation in any assessment. Please ensure participation in future evaluations.",
IF(J38=0,
"Online Assessment not attempted. Focus on improving basic skills.",
IF(J38&gt;=67.5,
"Outstanding performance in Online Assessment. ",
IF(J38&gt;=45,
"Good performance in Online Assessment. ",
"Needs improvement in Online Assessment. "))) &amp;
IF(R38=0,
"Personal Interview not attempted. Active engagement is essential.",
IF(R38&gt;=16,
"Outstanding performance in Personal Interview. ",
IF(R38&gt;=10,
"Good performance in Personal Interview. ",
"Needs improvement in Personal Interview. "))) &amp;
IF(Z38=0,
"GD Round not attempted. Active participation is crucial.",
IF(Z38&gt;=16,
"Outstanding performance in GD Round. ",
IF(Z38&gt;=10,
"Good performance in GD Round. ",
"Needs improvement in GD Round. "))) &amp;
IF(AH38=0,
"HR Round not attempted. Engage in the assessment process.",
IF(AH38&gt;=16,
"Outstanding performance in HR Round. ",
IF(AH38&gt;=10,
"Good performance in HR Round. ",
"Needs improvement in HR Round."))))</f>
        <v xml:space="preserve">Good performance in Online Assessment. Outstanding performance in Personal Interview. Needs improvement in GD Round. Good performance in HR Round. </v>
      </c>
    </row>
    <row r="39" spans="1:42" ht="13">
      <c r="A39">
        <v>36</v>
      </c>
      <c r="B39" s="39" t="s">
        <v>79</v>
      </c>
      <c r="C39" s="40" t="s">
        <v>80</v>
      </c>
      <c r="D39" s="40">
        <v>6280002799</v>
      </c>
      <c r="E39" s="7" t="s">
        <v>253</v>
      </c>
      <c r="F39" s="4"/>
      <c r="G39" s="4"/>
      <c r="H39" s="7">
        <v>8.1</v>
      </c>
      <c r="I39" s="7">
        <v>31</v>
      </c>
      <c r="J39" s="28">
        <f>SUM(H39:I39)</f>
        <v>39.1</v>
      </c>
      <c r="K39" s="56">
        <v>39.1</v>
      </c>
      <c r="L39" s="28">
        <v>90</v>
      </c>
      <c r="M39" s="28" t="str">
        <f>IF(H39=0,
"Aptitude section not attempted. ",
IF(H39&gt;=33.75,
"Outstanding performance in Aptitude. ",
IF(H39&gt;=22.5,
"Good performance in Aptitude. ",
"Needs improvement in Aptitude. "))) &amp;
IF(I39=0,
" General MBA Questions section not attempted. ",
IF(I39&gt;=33.75,
" Outstanding performance in General MBA Questions. ",
IF(I39&gt;=22.5,
" Good performance in General MBA Questions. ",
" Needs improvement in General MBA Questions. ")))</f>
        <v xml:space="preserve">Needs improvement in Aptitude.  Good performance in General MBA Questions. </v>
      </c>
      <c r="N39" s="11">
        <v>0</v>
      </c>
      <c r="O39" s="11">
        <v>0</v>
      </c>
      <c r="P39" s="11">
        <v>0</v>
      </c>
      <c r="Q39" s="11">
        <v>0</v>
      </c>
      <c r="R39" s="41">
        <f>SUM(N39:Q39)</f>
        <v>0</v>
      </c>
      <c r="S39" s="60" t="s">
        <v>259</v>
      </c>
      <c r="T39" s="41">
        <v>20</v>
      </c>
      <c r="U39" s="45" t="str">
        <f>IF(AND(N39=0,O39=0,P39=0,Q39=0),
"Personal Interview not attempted. Please ensure participation next time.",
IF(N39=0,
"Self Expression not attempted. Focus on articulating thoughts clearly.",
IF(N39&gt;=4,
"Outstanding Self Expression. ",
IF(N39&gt;=2,
"Good Self Expression. ",
"Needs improvement in Self Expression. "))) &amp;
IF(O39=0,
"Domain Knowledge not attempted. Focus on relevant topics.",
IF(O39&gt;=4,
"Outstanding performance in Domain Knowledge. ",
IF(O39&gt;=2,
"Good performance in Domain Knowledge. ",
"Needs improvement in Domain Knowledge. "))) &amp;
IF(P39=0,
"Thought Process not attempted. Work on organizing your thoughts.",
IF(P39&gt;=4,
"Outstanding Thought Process. ",
IF(P39&gt;=2,
"Good Thought Process. ",
"Needs improvement in Thought Process. "))) &amp;
IF(Q39=0,
"Problem Solving Skills not attempted. Focus on practice.",
IF(Q39&gt;=4,
"Outstanding Problem Solving Skills. ",
IF(Q39&gt;=2,
"Good Problem Solving Skills. ",
"Needs improvement in Problem Solving Skills. "))))</f>
        <v>Personal Interview not attempted. Please ensure participation next time.</v>
      </c>
      <c r="V39" s="43">
        <v>4</v>
      </c>
      <c r="W39" s="11">
        <v>3</v>
      </c>
      <c r="X39" s="3">
        <v>3</v>
      </c>
      <c r="Y39" s="87">
        <v>3</v>
      </c>
      <c r="Z39" s="3">
        <f>SUM(V39:Y39)</f>
        <v>13</v>
      </c>
      <c r="AA39" s="57">
        <v>13</v>
      </c>
      <c r="AB39" s="69">
        <v>20</v>
      </c>
      <c r="AC39" s="7" t="str">
        <f>IF(AND(V39=0,W39=0,X39=0,Y39=0),
"GD Round not attempted. Active participation is crucial.",
IF(V39=0,
"Participation not attempted. Engage more in discussions.",
IF(V39&gt;=4,
"Outstanding Participation. ",
IF(V39&gt;=2,
"Good Participation. ",
"Needs improvement in Participation. "))) &amp;
IF(W39=0,
"Communication not attempted. Focus on expressing ideas clearly.",
IF(W39&gt;=4,
"Outstanding Communication. ",
IF(W39&gt;=2,
"Good Communication. ",
"Needs improvement in Communication. "))) &amp;
IF(X39=0,
"Presence of Mind not attempted. Work on staying alert during discussions.",
IF(X39&gt;=4,
"Outstanding Presence of Mind. ",
IF(X39&gt;=2,
"Good Presence of Mind. ",
"Needs improvement in Presence of Mind. "))) &amp;
IF(Y39=0,
"Presentation not attempted. Enhance your presentation skills.",
IF(Y39&gt;=4,
"Outstanding Presentation. ",
IF(Y39&gt;=2,
"Good Presentation. ",
"Needs improvement in Presentation. "))))</f>
        <v xml:space="preserve">Outstanding Participation. Good Communication. Good Presence of Mind. Good Presentation. </v>
      </c>
      <c r="AD39" s="43">
        <v>5</v>
      </c>
      <c r="AE39" s="11">
        <v>5</v>
      </c>
      <c r="AF39" s="11">
        <v>5</v>
      </c>
      <c r="AG39" s="10">
        <v>5</v>
      </c>
      <c r="AH39" s="19">
        <f>SUM(AD39:AG39)</f>
        <v>20</v>
      </c>
      <c r="AI39" s="73">
        <v>20</v>
      </c>
      <c r="AJ39" s="76">
        <v>20</v>
      </c>
      <c r="AK39" s="45" t="str">
        <f>IF(AND(AD39=0,AE39=0,AF39=0,AG39=0),
"HR Round not attempted. It's essential to participate in all assessments.",
IF(AD39=0,
"Values not attempted. Reflect on your core values.",
IF(AD39&gt;=4,
"Outstanding understanding of Values. ",
IF(AD39&gt;=2,
"Good understanding of Values. ",
"Needs improvement in understanding Values. "))) &amp;
IF(AE39=0,
"Career Goal not attempted. Define your career objectives clearly.",
IF(AE39&gt;=4,
"Outstanding clarity in Career Goals. ",
IF(AE39&gt;=2,
"Good clarity in Career Goals. ",
"Needs improvement in defining Career Goals. "))) &amp;
IF(AF39=0,
"Behavior Skills not attempted. Work on interpersonal skills.",
IF(AF39&gt;=4,
"Outstanding Behavior Skills. ",
IF(AF39&gt;=2,
"Good Behavior Skills. ",
"Needs improvement in Behavior Skills. "))) &amp;
IF(AG39=0,
"Role Fitment not attempted. Assess your fit for the role.",
IF(AG39&gt;=4,
"Outstanding Role Fitment. ",
IF(AG39&gt;=2,
"Good Role Fitment. ",
"Needs improvement in Role Fitment. "))))</f>
        <v xml:space="preserve">Outstanding understanding of Values. Outstanding clarity in Career Goals. Outstanding Behavior Skills. Outstanding Role Fitment. </v>
      </c>
      <c r="AL39" s="65">
        <f>SUM(J39,R39,Z39,AH39)</f>
        <v>72.099999999999994</v>
      </c>
      <c r="AM39" s="57">
        <v>72.099999999999994</v>
      </c>
      <c r="AN39" s="70">
        <v>150</v>
      </c>
      <c r="AO39" s="57">
        <v>13</v>
      </c>
      <c r="AP39" s="52" t="str">
        <f>IF(AND(J39=0,R39=0,Z39=0,AH39=0),
"No participation in any assessment. Please ensure participation in future evaluations.",
IF(J39=0,
"Online Assessment not attempted. Focus on improving basic skills.",
IF(J39&gt;=67.5,
"Outstanding performance in Online Assessment. ",
IF(J39&gt;=45,
"Good performance in Online Assessment. ",
"Needs improvement in Online Assessment. "))) &amp;
IF(R39=0,
"Personal Interview not attempted. Active engagement is essential.",
IF(R39&gt;=16,
"Outstanding performance in Personal Interview. ",
IF(R39&gt;=10,
"Good performance in Personal Interview. ",
"Needs improvement in Personal Interview. "))) &amp;
IF(Z39=0,
"GD Round not attempted. Active participation is crucial.",
IF(Z39&gt;=16,
"Outstanding performance in GD Round. ",
IF(Z39&gt;=10,
"Good performance in GD Round. ",
"Needs improvement in GD Round. "))) &amp;
IF(AH39=0,
"HR Round not attempted. Engage in the assessment process.",
IF(AH39&gt;=16,
"Outstanding performance in HR Round. ",
IF(AH39&gt;=10,
"Good performance in HR Round. ",
"Needs improvement in HR Round."))))</f>
        <v xml:space="preserve">Needs improvement in Online Assessment. Personal Interview not attempted. Active engagement is essential.Good performance in GD Round. Outstanding performance in HR Round. </v>
      </c>
    </row>
    <row r="40" spans="1:42" ht="13">
      <c r="A40">
        <v>37</v>
      </c>
      <c r="B40" s="39" t="s">
        <v>174</v>
      </c>
      <c r="C40" s="40" t="s">
        <v>175</v>
      </c>
      <c r="D40" s="40">
        <v>8708870210</v>
      </c>
      <c r="E40" s="7" t="s">
        <v>253</v>
      </c>
      <c r="F40" s="7"/>
      <c r="G40" s="7"/>
      <c r="H40" s="7">
        <v>0</v>
      </c>
      <c r="I40" s="7">
        <v>0</v>
      </c>
      <c r="J40" s="28">
        <f>SUM(H40:I40)</f>
        <v>0</v>
      </c>
      <c r="K40" s="56" t="s">
        <v>259</v>
      </c>
      <c r="L40" s="28">
        <v>90</v>
      </c>
      <c r="M40" s="28" t="str">
        <f>IF(H40=0,
"Aptitude section not attempted. ",
IF(H40&gt;=33.75,
"Outstanding performance in Aptitude. ",
IF(H40&gt;=22.5,
"Good performance in Aptitude. ",
"Needs improvement in Aptitude. "))) &amp;
IF(I40=0,
" General MBA Questions section not attempted. ",
IF(I40&gt;=33.75,
" Outstanding performance in General MBA Questions. ",
IF(I40&gt;=22.5,
" Good performance in General MBA Questions. ",
" Needs improvement in General MBA Questions. ")))</f>
        <v xml:space="preserve">Aptitude section not attempted.  General MBA Questions section not attempted. </v>
      </c>
      <c r="N40" s="11">
        <v>0</v>
      </c>
      <c r="O40" s="11">
        <v>0</v>
      </c>
      <c r="P40" s="11">
        <v>0</v>
      </c>
      <c r="Q40" s="11">
        <v>0</v>
      </c>
      <c r="R40" s="41">
        <f>SUM(N40:Q40)</f>
        <v>0</v>
      </c>
      <c r="S40" s="60" t="s">
        <v>259</v>
      </c>
      <c r="T40" s="41">
        <v>20</v>
      </c>
      <c r="U40" s="45" t="str">
        <f>IF(AND(N40=0,O40=0,P40=0,Q40=0),
"Personal Interview not attempted. Please ensure participation next time.",
IF(N40=0,
"Self Expression not attempted. Focus on articulating thoughts clearly.",
IF(N40&gt;=4,
"Outstanding Self Expression. ",
IF(N40&gt;=2,
"Good Self Expression. ",
"Needs improvement in Self Expression. "))) &amp;
IF(O40=0,
"Domain Knowledge not attempted. Focus on relevant topics.",
IF(O40&gt;=4,
"Outstanding performance in Domain Knowledge. ",
IF(O40&gt;=2,
"Good performance in Domain Knowledge. ",
"Needs improvement in Domain Knowledge. "))) &amp;
IF(P40=0,
"Thought Process not attempted. Work on organizing your thoughts.",
IF(P40&gt;=4,
"Outstanding Thought Process. ",
IF(P40&gt;=2,
"Good Thought Process. ",
"Needs improvement in Thought Process. "))) &amp;
IF(Q40=0,
"Problem Solving Skills not attempted. Focus on practice.",
IF(Q40&gt;=4,
"Outstanding Problem Solving Skills. ",
IF(Q40&gt;=2,
"Good Problem Solving Skills. ",
"Needs improvement in Problem Solving Skills. "))))</f>
        <v>Personal Interview not attempted. Please ensure participation next time.</v>
      </c>
      <c r="V40" s="43">
        <v>0</v>
      </c>
      <c r="W40" s="11">
        <v>0</v>
      </c>
      <c r="X40" s="3">
        <v>0</v>
      </c>
      <c r="Y40" s="26">
        <v>0</v>
      </c>
      <c r="Z40" s="3">
        <f>SUM(V40:Y40)</f>
        <v>0</v>
      </c>
      <c r="AA40" s="64" t="s">
        <v>259</v>
      </c>
      <c r="AB40" s="69">
        <v>20</v>
      </c>
      <c r="AC40" s="7" t="str">
        <f>IF(AND(V40=0,W40=0,X40=0,Y40=0),
"GD Round not attempted. Active participation is crucial.",
IF(V40=0,
"Participation not attempted. Engage more in discussions.",
IF(V40&gt;=4,
"Outstanding Participation. ",
IF(V40&gt;=2,
"Good Participation. ",
"Needs improvement in Participation. "))) &amp;
IF(W40=0,
"Communication not attempted. Focus on expressing ideas clearly.",
IF(W40&gt;=4,
"Outstanding Communication. ",
IF(W40&gt;=2,
"Good Communication. ",
"Needs improvement in Communication. "))) &amp;
IF(X40=0,
"Presence of Mind not attempted. Work on staying alert during discussions.",
IF(X40&gt;=4,
"Outstanding Presence of Mind. ",
IF(X40&gt;=2,
"Good Presence of Mind. ",
"Needs improvement in Presence of Mind. "))) &amp;
IF(Y40=0,
"Presentation not attempted. Enhance your presentation skills.",
IF(Y40&gt;=4,
"Outstanding Presentation. ",
IF(Y40&gt;=2,
"Good Presentation. ",
"Needs improvement in Presentation. "))))</f>
        <v>GD Round not attempted. Active participation is crucial.</v>
      </c>
      <c r="AD40" s="43">
        <v>0</v>
      </c>
      <c r="AE40" s="11">
        <v>0</v>
      </c>
      <c r="AF40" s="82">
        <v>0</v>
      </c>
      <c r="AG40" s="5">
        <v>0</v>
      </c>
      <c r="AH40" s="19">
        <f>SUM(AD40:AG40)</f>
        <v>0</v>
      </c>
      <c r="AI40" s="73" t="s">
        <v>259</v>
      </c>
      <c r="AJ40" s="76">
        <v>20</v>
      </c>
      <c r="AK40" s="45" t="str">
        <f>IF(AND(AD40=0,AE40=0,AF40=0,AG40=0),
"HR Round not attempted. It's essential to participate in all assessments.",
IF(AD40=0,
"Values not attempted. Reflect on your core values.",
IF(AD40&gt;=4,
"Outstanding understanding of Values. ",
IF(AD40&gt;=2,
"Good understanding of Values. ",
"Needs improvement in understanding Values. "))) &amp;
IF(AE40=0,
"Career Goal not attempted. Define your career objectives clearly.",
IF(AE40&gt;=4,
"Outstanding clarity in Career Goals. ",
IF(AE40&gt;=2,
"Good clarity in Career Goals. ",
"Needs improvement in defining Career Goals. "))) &amp;
IF(AF40=0,
"Behavior Skills not attempted. Work on interpersonal skills.",
IF(AF40&gt;=4,
"Outstanding Behavior Skills. ",
IF(AF40&gt;=2,
"Good Behavior Skills. ",
"Needs improvement in Behavior Skills. "))) &amp;
IF(AG40=0,
"Role Fitment not attempted. Assess your fit for the role.",
IF(AG40&gt;=4,
"Outstanding Role Fitment. ",
IF(AG40&gt;=2,
"Good Role Fitment. ",
"Needs improvement in Role Fitment. "))))</f>
        <v>HR Round not attempted. It's essential to participate in all assessments.</v>
      </c>
      <c r="AL40" s="65">
        <f>SUM(J40,R40,Z40,AH40)</f>
        <v>0</v>
      </c>
      <c r="AM40" s="57">
        <v>0</v>
      </c>
      <c r="AN40" s="70">
        <v>150</v>
      </c>
      <c r="AO40" s="64" t="s">
        <v>259</v>
      </c>
      <c r="AP40" s="52" t="str">
        <f>IF(AND(J40=0,R40=0,Z40=0,AH40=0),
"No participation in any assessment. Please ensure participation in future evaluations.",
IF(J40=0,
"Online Assessment not attempted. Focus on improving basic skills.",
IF(J40&gt;=67.5,
"Outstanding performance in Online Assessment. ",
IF(J40&gt;=45,
"Good performance in Online Assessment. ",
"Needs improvement in Online Assessment. "))) &amp;
IF(R40=0,
"Personal Interview not attempted. Active engagement is essential.",
IF(R40&gt;=16,
"Outstanding performance in Personal Interview. ",
IF(R40&gt;=10,
"Good performance in Personal Interview. ",
"Needs improvement in Personal Interview. "))) &amp;
IF(Z40=0,
"GD Round not attempted. Active participation is crucial.",
IF(Z40&gt;=16,
"Outstanding performance in GD Round. ",
IF(Z40&gt;=10,
"Good performance in GD Round. ",
"Needs improvement in GD Round. "))) &amp;
IF(AH40=0,
"HR Round not attempted. Engage in the assessment process.",
IF(AH40&gt;=16,
"Outstanding performance in HR Round. ",
IF(AH40&gt;=10,
"Good performance in HR Round. ",
"Needs improvement in HR Round."))))</f>
        <v>No participation in any assessment. Please ensure participation in future evaluations.</v>
      </c>
    </row>
    <row r="41" spans="1:42" ht="13">
      <c r="A41">
        <v>38</v>
      </c>
      <c r="B41" s="39" t="s">
        <v>53</v>
      </c>
      <c r="C41" s="40" t="s">
        <v>54</v>
      </c>
      <c r="D41" s="40">
        <v>9878163041</v>
      </c>
      <c r="E41" s="7" t="s">
        <v>253</v>
      </c>
      <c r="F41" s="42"/>
      <c r="G41" s="42"/>
      <c r="H41" s="7">
        <v>9.4499999999999993</v>
      </c>
      <c r="I41" s="7">
        <v>22</v>
      </c>
      <c r="J41" s="28">
        <f>SUM(H41:I41)</f>
        <v>31.45</v>
      </c>
      <c r="K41" s="56">
        <v>31.45</v>
      </c>
      <c r="L41" s="28">
        <v>90</v>
      </c>
      <c r="M41" s="28" t="str">
        <f>IF(H41=0,
"Aptitude section not attempted. ",
IF(H41&gt;=33.75,
"Outstanding performance in Aptitude. ",
IF(H41&gt;=22.5,
"Good performance in Aptitude. ",
"Needs improvement in Aptitude. "))) &amp;
IF(I41=0,
" General MBA Questions section not attempted. ",
IF(I41&gt;=33.75,
" Outstanding performance in General MBA Questions. ",
IF(I41&gt;=22.5,
" Good performance in General MBA Questions. ",
" Needs improvement in General MBA Questions. ")))</f>
        <v xml:space="preserve">Needs improvement in Aptitude.  Needs improvement in General MBA Questions. </v>
      </c>
      <c r="N41" s="11">
        <v>0</v>
      </c>
      <c r="O41" s="11">
        <v>0</v>
      </c>
      <c r="P41" s="11">
        <v>0</v>
      </c>
      <c r="Q41" s="11">
        <v>0</v>
      </c>
      <c r="R41" s="41">
        <f>SUM(N41:Q41)</f>
        <v>0</v>
      </c>
      <c r="S41" s="60" t="s">
        <v>259</v>
      </c>
      <c r="T41" s="41">
        <v>20</v>
      </c>
      <c r="U41" s="45" t="str">
        <f>IF(AND(N41=0,O41=0,P41=0,Q41=0),
"Personal Interview not attempted. Please ensure participation next time.",
IF(N41=0,
"Self Expression not attempted. Focus on articulating thoughts clearly.",
IF(N41&gt;=4,
"Outstanding Self Expression. ",
IF(N41&gt;=2,
"Good Self Expression. ",
"Needs improvement in Self Expression. "))) &amp;
IF(O41=0,
"Domain Knowledge not attempted. Focus on relevant topics.",
IF(O41&gt;=4,
"Outstanding performance in Domain Knowledge. ",
IF(O41&gt;=2,
"Good performance in Domain Knowledge. ",
"Needs improvement in Domain Knowledge. "))) &amp;
IF(P41=0,
"Thought Process not attempted. Work on organizing your thoughts.",
IF(P41&gt;=4,
"Outstanding Thought Process. ",
IF(P41&gt;=2,
"Good Thought Process. ",
"Needs improvement in Thought Process. "))) &amp;
IF(Q41=0,
"Problem Solving Skills not attempted. Focus on practice.",
IF(Q41&gt;=4,
"Outstanding Problem Solving Skills. ",
IF(Q41&gt;=2,
"Good Problem Solving Skills. ",
"Needs improvement in Problem Solving Skills. "))))</f>
        <v>Personal Interview not attempted. Please ensure participation next time.</v>
      </c>
      <c r="V41" s="43">
        <v>1</v>
      </c>
      <c r="W41" s="11">
        <v>1</v>
      </c>
      <c r="X41" s="3">
        <v>1</v>
      </c>
      <c r="Y41" s="26">
        <v>1</v>
      </c>
      <c r="Z41" s="3">
        <f>SUM(V41:Y41)</f>
        <v>4</v>
      </c>
      <c r="AA41" s="57">
        <v>4</v>
      </c>
      <c r="AB41" s="69">
        <v>20</v>
      </c>
      <c r="AC41" s="7" t="str">
        <f>IF(AND(V41=0,W41=0,X41=0,Y41=0),
"GD Round not attempted. Active participation is crucial.",
IF(V41=0,
"Participation not attempted. Engage more in discussions.",
IF(V41&gt;=4,
"Outstanding Participation. ",
IF(V41&gt;=2,
"Good Participation. ",
"Needs improvement in Participation. "))) &amp;
IF(W41=0,
"Communication not attempted. Focus on expressing ideas clearly.",
IF(W41&gt;=4,
"Outstanding Communication. ",
IF(W41&gt;=2,
"Good Communication. ",
"Needs improvement in Communication. "))) &amp;
IF(X41=0,
"Presence of Mind not attempted. Work on staying alert during discussions.",
IF(X41&gt;=4,
"Outstanding Presence of Mind. ",
IF(X41&gt;=2,
"Good Presence of Mind. ",
"Needs improvement in Presence of Mind. "))) &amp;
IF(Y41=0,
"Presentation not attempted. Enhance your presentation skills.",
IF(Y41&gt;=4,
"Outstanding Presentation. ",
IF(Y41&gt;=2,
"Good Presentation. ",
"Needs improvement in Presentation. "))))</f>
        <v xml:space="preserve">Needs improvement in Participation. Needs improvement in Communication. Needs improvement in Presence of Mind. Needs improvement in Presentation. </v>
      </c>
      <c r="AD41" s="43">
        <v>0</v>
      </c>
      <c r="AE41" s="11">
        <v>0</v>
      </c>
      <c r="AF41" s="82">
        <v>0</v>
      </c>
      <c r="AG41" s="5">
        <v>0</v>
      </c>
      <c r="AH41" s="19">
        <f>SUM(AD41:AG41)</f>
        <v>0</v>
      </c>
      <c r="AI41" s="73" t="s">
        <v>259</v>
      </c>
      <c r="AJ41" s="76">
        <v>20</v>
      </c>
      <c r="AK41" s="45" t="str">
        <f>IF(AND(AD41=0,AE41=0,AF41=0,AG41=0),
"HR Round not attempted. It's essential to participate in all assessments.",
IF(AD41=0,
"Values not attempted. Reflect on your core values.",
IF(AD41&gt;=4,
"Outstanding understanding of Values. ",
IF(AD41&gt;=2,
"Good understanding of Values. ",
"Needs improvement in understanding Values. "))) &amp;
IF(AE41=0,
"Career Goal not attempted. Define your career objectives clearly.",
IF(AE41&gt;=4,
"Outstanding clarity in Career Goals. ",
IF(AE41&gt;=2,
"Good clarity in Career Goals. ",
"Needs improvement in defining Career Goals. "))) &amp;
IF(AF41=0,
"Behavior Skills not attempted. Work on interpersonal skills.",
IF(AF41&gt;=4,
"Outstanding Behavior Skills. ",
IF(AF41&gt;=2,
"Good Behavior Skills. ",
"Needs improvement in Behavior Skills. "))) &amp;
IF(AG41=0,
"Role Fitment not attempted. Assess your fit for the role.",
IF(AG41&gt;=4,
"Outstanding Role Fitment. ",
IF(AG41&gt;=2,
"Good Role Fitment. ",
"Needs improvement in Role Fitment. "))))</f>
        <v>HR Round not attempted. It's essential to participate in all assessments.</v>
      </c>
      <c r="AL41" s="65">
        <f>SUM(J41,R41,Z41,AH41)</f>
        <v>35.450000000000003</v>
      </c>
      <c r="AM41" s="57">
        <v>35.450000000000003</v>
      </c>
      <c r="AN41" s="70">
        <v>150</v>
      </c>
      <c r="AO41" s="57">
        <v>78</v>
      </c>
      <c r="AP41" s="52" t="str">
        <f>IF(AND(J41=0,R41=0,Z41=0,AH41=0),
"No participation in any assessment. Please ensure participation in future evaluations.",
IF(J41=0,
"Online Assessment not attempted. Focus on improving basic skills.",
IF(J41&gt;=67.5,
"Outstanding performance in Online Assessment. ",
IF(J41&gt;=45,
"Good performance in Online Assessment. ",
"Needs improvement in Online Assessment. "))) &amp;
IF(R41=0,
"Personal Interview not attempted. Active engagement is essential.",
IF(R41&gt;=16,
"Outstanding performance in Personal Interview. ",
IF(R41&gt;=10,
"Good performance in Personal Interview. ",
"Needs improvement in Personal Interview. "))) &amp;
IF(Z41=0,
"GD Round not attempted. Active participation is crucial.",
IF(Z41&gt;=16,
"Outstanding performance in GD Round. ",
IF(Z41&gt;=10,
"Good performance in GD Round. ",
"Needs improvement in GD Round. "))) &amp;
IF(AH41=0,
"HR Round not attempted. Engage in the assessment process.",
IF(AH41&gt;=16,
"Outstanding performance in HR Round. ",
IF(AH41&gt;=10,
"Good performance in HR Round. ",
"Needs improvement in HR Round."))))</f>
        <v>Needs improvement in Online Assessment. Personal Interview not attempted. Active engagement is essential.Needs improvement in GD Round. HR Round not attempted. Engage in the assessment process.</v>
      </c>
    </row>
    <row r="42" spans="1:42" ht="13">
      <c r="A42">
        <v>39</v>
      </c>
      <c r="B42" s="39" t="s">
        <v>144</v>
      </c>
      <c r="C42" s="40" t="s">
        <v>145</v>
      </c>
      <c r="D42" s="40">
        <v>8264247148</v>
      </c>
      <c r="E42" s="7" t="s">
        <v>253</v>
      </c>
      <c r="F42" s="6"/>
      <c r="G42" s="6"/>
      <c r="H42" s="7">
        <v>0</v>
      </c>
      <c r="I42" s="7">
        <v>0</v>
      </c>
      <c r="J42" s="28">
        <f>SUM(H42:I42)</f>
        <v>0</v>
      </c>
      <c r="K42" s="56" t="s">
        <v>259</v>
      </c>
      <c r="L42" s="28">
        <v>90</v>
      </c>
      <c r="M42" s="28" t="str">
        <f>IF(H42=0,
"Aptitude section not attempted. ",
IF(H42&gt;=33.75,
"Outstanding performance in Aptitude. ",
IF(H42&gt;=22.5,
"Good performance in Aptitude. ",
"Needs improvement in Aptitude. "))) &amp;
IF(I42=0,
" General MBA Questions section not attempted. ",
IF(I42&gt;=33.75,
" Outstanding performance in General MBA Questions. ",
IF(I42&gt;=22.5,
" Good performance in General MBA Questions. ",
" Needs improvement in General MBA Questions. ")))</f>
        <v xml:space="preserve">Aptitude section not attempted.  General MBA Questions section not attempted. </v>
      </c>
      <c r="N42" s="11">
        <v>4</v>
      </c>
      <c r="O42" s="11">
        <v>3</v>
      </c>
      <c r="P42" s="11">
        <v>4</v>
      </c>
      <c r="Q42" s="11">
        <v>3.5</v>
      </c>
      <c r="R42" s="41">
        <f>SUM(N42:Q42)</f>
        <v>14.5</v>
      </c>
      <c r="S42" s="60">
        <v>14.5</v>
      </c>
      <c r="T42" s="41">
        <v>20</v>
      </c>
      <c r="U42" s="45" t="str">
        <f>IF(AND(N42=0,O42=0,P42=0,Q42=0),
"Personal Interview not attempted. Please ensure participation next time.",
IF(N42=0,
"Self Expression not attempted. Focus on articulating thoughts clearly.",
IF(N42&gt;=4,
"Outstanding Self Expression. ",
IF(N42&gt;=2,
"Good Self Expression. ",
"Needs improvement in Self Expression. "))) &amp;
IF(O42=0,
"Domain Knowledge not attempted. Focus on relevant topics.",
IF(O42&gt;=4,
"Outstanding performance in Domain Knowledge. ",
IF(O42&gt;=2,
"Good performance in Domain Knowledge. ",
"Needs improvement in Domain Knowledge. "))) &amp;
IF(P42=0,
"Thought Process not attempted. Work on organizing your thoughts.",
IF(P42&gt;=4,
"Outstanding Thought Process. ",
IF(P42&gt;=2,
"Good Thought Process. ",
"Needs improvement in Thought Process. "))) &amp;
IF(Q42=0,
"Problem Solving Skills not attempted. Focus on practice.",
IF(Q42&gt;=4,
"Outstanding Problem Solving Skills. ",
IF(Q42&gt;=2,
"Good Problem Solving Skills. ",
"Needs improvement in Problem Solving Skills. "))))</f>
        <v xml:space="preserve">Outstanding Self Expression. Good performance in Domain Knowledge. Outstanding Thought Process. Good Problem Solving Skills. </v>
      </c>
      <c r="V42" s="43">
        <v>2</v>
      </c>
      <c r="W42" s="11">
        <v>2</v>
      </c>
      <c r="X42" s="3">
        <v>2</v>
      </c>
      <c r="Y42" s="87">
        <v>2</v>
      </c>
      <c r="Z42" s="3">
        <f>SUM(V42:Y42)</f>
        <v>8</v>
      </c>
      <c r="AA42" s="57">
        <v>8</v>
      </c>
      <c r="AB42" s="69">
        <v>20</v>
      </c>
      <c r="AC42" s="7" t="str">
        <f>IF(AND(V42=0,W42=0,X42=0,Y42=0),
"GD Round not attempted. Active participation is crucial.",
IF(V42=0,
"Participation not attempted. Engage more in discussions.",
IF(V42&gt;=4,
"Outstanding Participation. ",
IF(V42&gt;=2,
"Good Participation. ",
"Needs improvement in Participation. "))) &amp;
IF(W42=0,
"Communication not attempted. Focus on expressing ideas clearly.",
IF(W42&gt;=4,
"Outstanding Communication. ",
IF(W42&gt;=2,
"Good Communication. ",
"Needs improvement in Communication. "))) &amp;
IF(X42=0,
"Presence of Mind not attempted. Work on staying alert during discussions.",
IF(X42&gt;=4,
"Outstanding Presence of Mind. ",
IF(X42&gt;=2,
"Good Presence of Mind. ",
"Needs improvement in Presence of Mind. "))) &amp;
IF(Y42=0,
"Presentation not attempted. Enhance your presentation skills.",
IF(Y42&gt;=4,
"Outstanding Presentation. ",
IF(Y42&gt;=2,
"Good Presentation. ",
"Needs improvement in Presentation. "))))</f>
        <v xml:space="preserve">Good Participation. Good Communication. Good Presence of Mind. Good Presentation. </v>
      </c>
      <c r="AD42" s="43">
        <v>4</v>
      </c>
      <c r="AE42" s="11">
        <v>3.5</v>
      </c>
      <c r="AF42" s="11">
        <v>4</v>
      </c>
      <c r="AG42" s="10">
        <v>4</v>
      </c>
      <c r="AH42" s="19">
        <f>SUM(AD42:AG42)</f>
        <v>15.5</v>
      </c>
      <c r="AI42" s="73">
        <v>15.5</v>
      </c>
      <c r="AJ42" s="76">
        <v>20</v>
      </c>
      <c r="AK42" s="45" t="str">
        <f>IF(AND(AD42=0,AE42=0,AF42=0,AG42=0),
"HR Round not attempted. It's essential to participate in all assessments.",
IF(AD42=0,
"Values not attempted. Reflect on your core values.",
IF(AD42&gt;=4,
"Outstanding understanding of Values. ",
IF(AD42&gt;=2,
"Good understanding of Values. ",
"Needs improvement in understanding Values. "))) &amp;
IF(AE42=0,
"Career Goal not attempted. Define your career objectives clearly.",
IF(AE42&gt;=4,
"Outstanding clarity in Career Goals. ",
IF(AE42&gt;=2,
"Good clarity in Career Goals. ",
"Needs improvement in defining Career Goals. "))) &amp;
IF(AF42=0,
"Behavior Skills not attempted. Work on interpersonal skills.",
IF(AF42&gt;=4,
"Outstanding Behavior Skills. ",
IF(AF42&gt;=2,
"Good Behavior Skills. ",
"Needs improvement in Behavior Skills. "))) &amp;
IF(AG42=0,
"Role Fitment not attempted. Assess your fit for the role.",
IF(AG42&gt;=4,
"Outstanding Role Fitment. ",
IF(AG42&gt;=2,
"Good Role Fitment. ",
"Needs improvement in Role Fitment. "))))</f>
        <v xml:space="preserve">Outstanding understanding of Values. Good clarity in Career Goals. Outstanding Behavior Skills. Outstanding Role Fitment. </v>
      </c>
      <c r="AL42" s="65">
        <f>SUM(J42,R42,Z42,AH42)</f>
        <v>38</v>
      </c>
      <c r="AM42" s="57">
        <v>38</v>
      </c>
      <c r="AN42" s="70">
        <v>150</v>
      </c>
      <c r="AO42" s="57">
        <v>73</v>
      </c>
      <c r="AP42" s="52" t="str">
        <f>IF(AND(J42=0,R42=0,Z42=0,AH42=0),
"No participation in any assessment. Please ensure participation in future evaluations.",
IF(J42=0,
"Online Assessment not attempted. Focus on improving basic skills.",
IF(J42&gt;=67.5,
"Outstanding performance in Online Assessment. ",
IF(J42&gt;=45,
"Good performance in Online Assessment. ",
"Needs improvement in Online Assessment. "))) &amp;
IF(R42=0,
"Personal Interview not attempted. Active engagement is essential.",
IF(R42&gt;=16,
"Outstanding performance in Personal Interview. ",
IF(R42&gt;=10,
"Good performance in Personal Interview. ",
"Needs improvement in Personal Interview. "))) &amp;
IF(Z42=0,
"GD Round not attempted. Active participation is crucial.",
IF(Z42&gt;=16,
"Outstanding performance in GD Round. ",
IF(Z42&gt;=10,
"Good performance in GD Round. ",
"Needs improvement in GD Round. "))) &amp;
IF(AH42=0,
"HR Round not attempted. Engage in the assessment process.",
IF(AH42&gt;=16,
"Outstanding performance in HR Round. ",
IF(AH42&gt;=10,
"Good performance in HR Round. ",
"Needs improvement in HR Round."))))</f>
        <v xml:space="preserve">Online Assessment not attempted. Focus on improving basic skills.Good performance in Personal Interview. Needs improvement in GD Round. Good performance in HR Round. </v>
      </c>
    </row>
    <row r="43" spans="1:42" ht="13">
      <c r="A43">
        <v>40</v>
      </c>
      <c r="B43" s="39" t="s">
        <v>186</v>
      </c>
      <c r="C43" s="40" t="s">
        <v>187</v>
      </c>
      <c r="D43" s="40">
        <v>9592046181</v>
      </c>
      <c r="E43" s="7" t="s">
        <v>253</v>
      </c>
      <c r="F43" s="7"/>
      <c r="G43" s="7"/>
      <c r="H43" s="7">
        <v>13.4</v>
      </c>
      <c r="I43" s="7">
        <v>18</v>
      </c>
      <c r="J43" s="28">
        <f>SUM(H43:I43)</f>
        <v>31.4</v>
      </c>
      <c r="K43" s="56">
        <v>31.4</v>
      </c>
      <c r="L43" s="28">
        <v>90</v>
      </c>
      <c r="M43" s="28" t="str">
        <f>IF(H43=0,
"Aptitude section not attempted. ",
IF(H43&gt;=33.75,
"Outstanding performance in Aptitude. ",
IF(H43&gt;=22.5,
"Good performance in Aptitude. ",
"Needs improvement in Aptitude. "))) &amp;
IF(I43=0,
" General MBA Questions section not attempted. ",
IF(I43&gt;=33.75,
" Outstanding performance in General MBA Questions. ",
IF(I43&gt;=22.5,
" Good performance in General MBA Questions. ",
" Needs improvement in General MBA Questions. ")))</f>
        <v xml:space="preserve">Needs improvement in Aptitude.  Needs improvement in General MBA Questions. </v>
      </c>
      <c r="N43" s="11">
        <v>0</v>
      </c>
      <c r="O43" s="11">
        <v>0</v>
      </c>
      <c r="P43" s="11">
        <v>0</v>
      </c>
      <c r="Q43" s="11">
        <v>0</v>
      </c>
      <c r="R43" s="41">
        <f>SUM(N43:Q43)</f>
        <v>0</v>
      </c>
      <c r="S43" s="60" t="s">
        <v>259</v>
      </c>
      <c r="T43" s="41">
        <v>20</v>
      </c>
      <c r="U43" s="45" t="str">
        <f>IF(AND(N43=0,O43=0,P43=0,Q43=0),
"Personal Interview not attempted. Please ensure participation next time.",
IF(N43=0,
"Self Expression not attempted. Focus on articulating thoughts clearly.",
IF(N43&gt;=4,
"Outstanding Self Expression. ",
IF(N43&gt;=2,
"Good Self Expression. ",
"Needs improvement in Self Expression. "))) &amp;
IF(O43=0,
"Domain Knowledge not attempted. Focus on relevant topics.",
IF(O43&gt;=4,
"Outstanding performance in Domain Knowledge. ",
IF(O43&gt;=2,
"Good performance in Domain Knowledge. ",
"Needs improvement in Domain Knowledge. "))) &amp;
IF(P43=0,
"Thought Process not attempted. Work on organizing your thoughts.",
IF(P43&gt;=4,
"Outstanding Thought Process. ",
IF(P43&gt;=2,
"Good Thought Process. ",
"Needs improvement in Thought Process. "))) &amp;
IF(Q43=0,
"Problem Solving Skills not attempted. Focus on practice.",
IF(Q43&gt;=4,
"Outstanding Problem Solving Skills. ",
IF(Q43&gt;=2,
"Good Problem Solving Skills. ",
"Needs improvement in Problem Solving Skills. "))))</f>
        <v>Personal Interview not attempted. Please ensure participation next time.</v>
      </c>
      <c r="V43" s="43">
        <v>3</v>
      </c>
      <c r="W43" s="11">
        <v>3</v>
      </c>
      <c r="X43" s="3">
        <v>3</v>
      </c>
      <c r="Y43" s="26">
        <v>3</v>
      </c>
      <c r="Z43" s="3">
        <f>SUM(V43:Y43)</f>
        <v>12</v>
      </c>
      <c r="AA43" s="57">
        <v>12</v>
      </c>
      <c r="AB43" s="69">
        <v>20</v>
      </c>
      <c r="AC43" s="7" t="str">
        <f>IF(AND(V43=0,W43=0,X43=0,Y43=0),
"GD Round not attempted. Active participation is crucial.",
IF(V43=0,
"Participation not attempted. Engage more in discussions.",
IF(V43&gt;=4,
"Outstanding Participation. ",
IF(V43&gt;=2,
"Good Participation. ",
"Needs improvement in Participation. "))) &amp;
IF(W43=0,
"Communication not attempted. Focus on expressing ideas clearly.",
IF(W43&gt;=4,
"Outstanding Communication. ",
IF(W43&gt;=2,
"Good Communication. ",
"Needs improvement in Communication. "))) &amp;
IF(X43=0,
"Presence of Mind not attempted. Work on staying alert during discussions.",
IF(X43&gt;=4,
"Outstanding Presence of Mind. ",
IF(X43&gt;=2,
"Good Presence of Mind. ",
"Needs improvement in Presence of Mind. "))) &amp;
IF(Y43=0,
"Presentation not attempted. Enhance your presentation skills.",
IF(Y43&gt;=4,
"Outstanding Presentation. ",
IF(Y43&gt;=2,
"Good Presentation. ",
"Needs improvement in Presentation. "))))</f>
        <v xml:space="preserve">Good Participation. Good Communication. Good Presence of Mind. Good Presentation. </v>
      </c>
      <c r="AD43" s="46">
        <v>1</v>
      </c>
      <c r="AE43" s="7">
        <v>1</v>
      </c>
      <c r="AF43">
        <v>1</v>
      </c>
      <c r="AG43" s="26">
        <v>1</v>
      </c>
      <c r="AH43" s="19">
        <f>SUM(AD43:AG43)</f>
        <v>4</v>
      </c>
      <c r="AI43" s="73">
        <v>4</v>
      </c>
      <c r="AJ43" s="76">
        <v>20</v>
      </c>
      <c r="AK43" s="45" t="str">
        <f>IF(AND(AD43=0,AE43=0,AF43=0,AG43=0),
"HR Round not attempted. It's essential to participate in all assessments.",
IF(AD43=0,
"Values not attempted. Reflect on your core values.",
IF(AD43&gt;=4,
"Outstanding understanding of Values. ",
IF(AD43&gt;=2,
"Good understanding of Values. ",
"Needs improvement in understanding Values. "))) &amp;
IF(AE43=0,
"Career Goal not attempted. Define your career objectives clearly.",
IF(AE43&gt;=4,
"Outstanding clarity in Career Goals. ",
IF(AE43&gt;=2,
"Good clarity in Career Goals. ",
"Needs improvement in defining Career Goals. "))) &amp;
IF(AF43=0,
"Behavior Skills not attempted. Work on interpersonal skills.",
IF(AF43&gt;=4,
"Outstanding Behavior Skills. ",
IF(AF43&gt;=2,
"Good Behavior Skills. ",
"Needs improvement in Behavior Skills. "))) &amp;
IF(AG43=0,
"Role Fitment not attempted. Assess your fit for the role.",
IF(AG43&gt;=4,
"Outstanding Role Fitment. ",
IF(AG43&gt;=2,
"Good Role Fitment. ",
"Needs improvement in Role Fitment. "))))</f>
        <v xml:space="preserve">Needs improvement in understanding Values. Needs improvement in defining Career Goals. Needs improvement in Behavior Skills. Needs improvement in Role Fitment. </v>
      </c>
      <c r="AL43" s="65">
        <f>SUM(J43,R43,Z43,AH43)</f>
        <v>47.4</v>
      </c>
      <c r="AM43" s="57">
        <v>47.4</v>
      </c>
      <c r="AN43" s="70">
        <v>150</v>
      </c>
      <c r="AO43" s="57">
        <v>63</v>
      </c>
      <c r="AP43" s="52" t="str">
        <f>IF(AND(J43=0,R43=0,Z43=0,AH43=0),
"No participation in any assessment. Please ensure participation in future evaluations.",
IF(J43=0,
"Online Assessment not attempted. Focus on improving basic skills.",
IF(J43&gt;=67.5,
"Outstanding performance in Online Assessment. ",
IF(J43&gt;=45,
"Good performance in Online Assessment. ",
"Needs improvement in Online Assessment. "))) &amp;
IF(R43=0,
"Personal Interview not attempted. Active engagement is essential.",
IF(R43&gt;=16,
"Outstanding performance in Personal Interview. ",
IF(R43&gt;=10,
"Good performance in Personal Interview. ",
"Needs improvement in Personal Interview. "))) &amp;
IF(Z43=0,
"GD Round not attempted. Active participation is crucial.",
IF(Z43&gt;=16,
"Outstanding performance in GD Round. ",
IF(Z43&gt;=10,
"Good performance in GD Round. ",
"Needs improvement in GD Round. "))) &amp;
IF(AH43=0,
"HR Round not attempted. Engage in the assessment process.",
IF(AH43&gt;=16,
"Outstanding performance in HR Round. ",
IF(AH43&gt;=10,
"Good performance in HR Round. ",
"Needs improvement in HR Round."))))</f>
        <v>Needs improvement in Online Assessment. Personal Interview not attempted. Active engagement is essential.Good performance in GD Round. Needs improvement in HR Round.</v>
      </c>
    </row>
    <row r="44" spans="1:42" ht="13">
      <c r="A44">
        <v>41</v>
      </c>
      <c r="B44" s="39" t="s">
        <v>165</v>
      </c>
      <c r="C44" s="40" t="s">
        <v>166</v>
      </c>
      <c r="D44" s="40">
        <v>7018013812</v>
      </c>
      <c r="E44" s="7" t="s">
        <v>253</v>
      </c>
      <c r="F44" s="7"/>
      <c r="G44" s="7"/>
      <c r="H44" s="7">
        <v>11.85</v>
      </c>
      <c r="I44" s="7">
        <v>18</v>
      </c>
      <c r="J44" s="28">
        <f>SUM(H44:I44)</f>
        <v>29.85</v>
      </c>
      <c r="K44" s="56">
        <v>29.85</v>
      </c>
      <c r="L44" s="28">
        <v>90</v>
      </c>
      <c r="M44" s="28" t="str">
        <f>IF(H44=0,
"Aptitude section not attempted. ",
IF(H44&gt;=33.75,
"Outstanding performance in Aptitude. ",
IF(H44&gt;=22.5,
"Good performance in Aptitude. ",
"Needs improvement in Aptitude. "))) &amp;
IF(I44=0,
" General MBA Questions section not attempted. ",
IF(I44&gt;=33.75,
" Outstanding performance in General MBA Questions. ",
IF(I44&gt;=22.5,
" Good performance in General MBA Questions. ",
" Needs improvement in General MBA Questions. ")))</f>
        <v xml:space="preserve">Needs improvement in Aptitude.  Needs improvement in General MBA Questions. </v>
      </c>
      <c r="N44" s="7">
        <v>3</v>
      </c>
      <c r="O44" s="7">
        <v>3</v>
      </c>
      <c r="P44" s="7">
        <v>3</v>
      </c>
      <c r="Q44" s="7">
        <v>3</v>
      </c>
      <c r="R44" s="41">
        <f>SUM(N44:Q44)</f>
        <v>12</v>
      </c>
      <c r="S44" s="60">
        <v>12</v>
      </c>
      <c r="T44" s="41">
        <v>20</v>
      </c>
      <c r="U44" s="45" t="str">
        <f>IF(AND(N44=0,O44=0,P44=0,Q44=0),
"Personal Interview not attempted. Please ensure participation next time.",
IF(N44=0,
"Self Expression not attempted. Focus on articulating thoughts clearly.",
IF(N44&gt;=4,
"Outstanding Self Expression. ",
IF(N44&gt;=2,
"Good Self Expression. ",
"Needs improvement in Self Expression. "))) &amp;
IF(O44=0,
"Domain Knowledge not attempted. Focus on relevant topics.",
IF(O44&gt;=4,
"Outstanding performance in Domain Knowledge. ",
IF(O44&gt;=2,
"Good performance in Domain Knowledge. ",
"Needs improvement in Domain Knowledge. "))) &amp;
IF(P44=0,
"Thought Process not attempted. Work on organizing your thoughts.",
IF(P44&gt;=4,
"Outstanding Thought Process. ",
IF(P44&gt;=2,
"Good Thought Process. ",
"Needs improvement in Thought Process. "))) &amp;
IF(Q44=0,
"Problem Solving Skills not attempted. Focus on practice.",
IF(Q44&gt;=4,
"Outstanding Problem Solving Skills. ",
IF(Q44&gt;=2,
"Good Problem Solving Skills. ",
"Needs improvement in Problem Solving Skills. "))))</f>
        <v xml:space="preserve">Good Self Expression. Good performance in Domain Knowledge. Good Thought Process. Good Problem Solving Skills. </v>
      </c>
      <c r="V44" s="43">
        <v>4</v>
      </c>
      <c r="W44" s="11">
        <v>3</v>
      </c>
      <c r="X44" s="3">
        <v>4</v>
      </c>
      <c r="Y44" s="87">
        <v>3</v>
      </c>
      <c r="Z44" s="3">
        <f>SUM(V44:Y44)</f>
        <v>14</v>
      </c>
      <c r="AA44" s="57">
        <v>14</v>
      </c>
      <c r="AB44" s="69">
        <v>20</v>
      </c>
      <c r="AC44" s="7" t="str">
        <f>IF(AND(V44=0,W44=0,X44=0,Y44=0),
"GD Round not attempted. Active participation is crucial.",
IF(V44=0,
"Participation not attempted. Engage more in discussions.",
IF(V44&gt;=4,
"Outstanding Participation. ",
IF(V44&gt;=2,
"Good Participation. ",
"Needs improvement in Participation. "))) &amp;
IF(W44=0,
"Communication not attempted. Focus on expressing ideas clearly.",
IF(W44&gt;=4,
"Outstanding Communication. ",
IF(W44&gt;=2,
"Good Communication. ",
"Needs improvement in Communication. "))) &amp;
IF(X44=0,
"Presence of Mind not attempted. Work on staying alert during discussions.",
IF(X44&gt;=4,
"Outstanding Presence of Mind. ",
IF(X44&gt;=2,
"Good Presence of Mind. ",
"Needs improvement in Presence of Mind. "))) &amp;
IF(Y44=0,
"Presentation not attempted. Enhance your presentation skills.",
IF(Y44&gt;=4,
"Outstanding Presentation. ",
IF(Y44&gt;=2,
"Good Presentation. ",
"Needs improvement in Presentation. "))))</f>
        <v xml:space="preserve">Outstanding Participation. Good Communication. Outstanding Presence of Mind. Good Presentation. </v>
      </c>
      <c r="AD44" s="43">
        <v>0</v>
      </c>
      <c r="AE44" s="11">
        <v>0</v>
      </c>
      <c r="AF44" s="82">
        <v>0</v>
      </c>
      <c r="AG44" s="5">
        <v>0</v>
      </c>
      <c r="AH44" s="19">
        <f>SUM(AD44:AG44)</f>
        <v>0</v>
      </c>
      <c r="AI44" s="73" t="s">
        <v>259</v>
      </c>
      <c r="AJ44" s="76">
        <v>20</v>
      </c>
      <c r="AK44" s="45" t="str">
        <f>IF(AND(AD44=0,AE44=0,AF44=0,AG44=0),
"HR Round not attempted. It's essential to participate in all assessments.",
IF(AD44=0,
"Values not attempted. Reflect on your core values.",
IF(AD44&gt;=4,
"Outstanding understanding of Values. ",
IF(AD44&gt;=2,
"Good understanding of Values. ",
"Needs improvement in understanding Values. "))) &amp;
IF(AE44=0,
"Career Goal not attempted. Define your career objectives clearly.",
IF(AE44&gt;=4,
"Outstanding clarity in Career Goals. ",
IF(AE44&gt;=2,
"Good clarity in Career Goals. ",
"Needs improvement in defining Career Goals. "))) &amp;
IF(AF44=0,
"Behavior Skills not attempted. Work on interpersonal skills.",
IF(AF44&gt;=4,
"Outstanding Behavior Skills. ",
IF(AF44&gt;=2,
"Good Behavior Skills. ",
"Needs improvement in Behavior Skills. "))) &amp;
IF(AG44=0,
"Role Fitment not attempted. Assess your fit for the role.",
IF(AG44&gt;=4,
"Outstanding Role Fitment. ",
IF(AG44&gt;=2,
"Good Role Fitment. ",
"Needs improvement in Role Fitment. "))))</f>
        <v>HR Round not attempted. It's essential to participate in all assessments.</v>
      </c>
      <c r="AL44" s="65">
        <f>SUM(J44,R44,Z44,AH44)</f>
        <v>55.85</v>
      </c>
      <c r="AM44" s="57">
        <v>55.85</v>
      </c>
      <c r="AN44" s="70">
        <v>150</v>
      </c>
      <c r="AO44" s="57">
        <v>46</v>
      </c>
      <c r="AP44" s="52" t="str">
        <f>IF(AND(J44=0,R44=0,Z44=0,AH44=0),
"No participation in any assessment. Please ensure participation in future evaluations.",
IF(J44=0,
"Online Assessment not attempted. Focus on improving basic skills.",
IF(J44&gt;=67.5,
"Outstanding performance in Online Assessment. ",
IF(J44&gt;=45,
"Good performance in Online Assessment. ",
"Needs improvement in Online Assessment. "))) &amp;
IF(R44=0,
"Personal Interview not attempted. Active engagement is essential.",
IF(R44&gt;=16,
"Outstanding performance in Personal Interview. ",
IF(R44&gt;=10,
"Good performance in Personal Interview. ",
"Needs improvement in Personal Interview. "))) &amp;
IF(Z44=0,
"GD Round not attempted. Active participation is crucial.",
IF(Z44&gt;=16,
"Outstanding performance in GD Round. ",
IF(Z44&gt;=10,
"Good performance in GD Round. ",
"Needs improvement in GD Round. "))) &amp;
IF(AH44=0,
"HR Round not attempted. Engage in the assessment process.",
IF(AH44&gt;=16,
"Outstanding performance in HR Round. ",
IF(AH44&gt;=10,
"Good performance in HR Round. ",
"Needs improvement in HR Round."))))</f>
        <v>Needs improvement in Online Assessment. Good performance in Personal Interview. Good performance in GD Round. HR Round not attempted. Engage in the assessment process.</v>
      </c>
    </row>
    <row r="45" spans="1:42" ht="13">
      <c r="A45">
        <v>42</v>
      </c>
      <c r="B45" s="39" t="s">
        <v>27</v>
      </c>
      <c r="C45" s="40" t="s">
        <v>28</v>
      </c>
      <c r="D45" s="40">
        <v>7986068279</v>
      </c>
      <c r="E45" s="7" t="s">
        <v>253</v>
      </c>
      <c r="F45" s="6"/>
      <c r="G45" s="6"/>
      <c r="H45" s="7">
        <v>0</v>
      </c>
      <c r="I45" s="7">
        <v>0</v>
      </c>
      <c r="J45" s="28">
        <f>SUM(H45:I45)</f>
        <v>0</v>
      </c>
      <c r="K45" s="56" t="s">
        <v>259</v>
      </c>
      <c r="L45" s="28">
        <v>90</v>
      </c>
      <c r="M45" s="28" t="str">
        <f>IF(H45=0,
"Aptitude section not attempted. ",
IF(H45&gt;=33.75,
"Outstanding performance in Aptitude. ",
IF(H45&gt;=22.5,
"Good performance in Aptitude. ",
"Needs improvement in Aptitude. "))) &amp;
IF(I45=0,
" General MBA Questions section not attempted. ",
IF(I45&gt;=33.75,
" Outstanding performance in General MBA Questions. ",
IF(I45&gt;=22.5,
" Good performance in General MBA Questions. ",
" Needs improvement in General MBA Questions. ")))</f>
        <v xml:space="preserve">Aptitude section not attempted.  General MBA Questions section not attempted. </v>
      </c>
      <c r="N45" s="11">
        <v>0</v>
      </c>
      <c r="O45" s="11">
        <v>0</v>
      </c>
      <c r="P45" s="11">
        <v>0</v>
      </c>
      <c r="Q45" s="11">
        <v>0</v>
      </c>
      <c r="R45" s="41">
        <f>SUM(N45:Q45)</f>
        <v>0</v>
      </c>
      <c r="S45" s="60" t="s">
        <v>259</v>
      </c>
      <c r="T45" s="41">
        <v>20</v>
      </c>
      <c r="U45" s="45" t="str">
        <f>IF(AND(N45=0,O45=0,P45=0,Q45=0),
"Personal Interview not attempted. Please ensure participation next time.",
IF(N45=0,
"Self Expression not attempted. Focus on articulating thoughts clearly.",
IF(N45&gt;=4,
"Outstanding Self Expression. ",
IF(N45&gt;=2,
"Good Self Expression. ",
"Needs improvement in Self Expression. "))) &amp;
IF(O45=0,
"Domain Knowledge not attempted. Focus on relevant topics.",
IF(O45&gt;=4,
"Outstanding performance in Domain Knowledge. ",
IF(O45&gt;=2,
"Good performance in Domain Knowledge. ",
"Needs improvement in Domain Knowledge. "))) &amp;
IF(P45=0,
"Thought Process not attempted. Work on organizing your thoughts.",
IF(P45&gt;=4,
"Outstanding Thought Process. ",
IF(P45&gt;=2,
"Good Thought Process. ",
"Needs improvement in Thought Process. "))) &amp;
IF(Q45=0,
"Problem Solving Skills not attempted. Focus on practice.",
IF(Q45&gt;=4,
"Outstanding Problem Solving Skills. ",
IF(Q45&gt;=2,
"Good Problem Solving Skills. ",
"Needs improvement in Problem Solving Skills. "))))</f>
        <v>Personal Interview not attempted. Please ensure participation next time.</v>
      </c>
      <c r="V45" s="43">
        <v>0</v>
      </c>
      <c r="W45" s="11">
        <v>0</v>
      </c>
      <c r="X45" s="3">
        <v>0</v>
      </c>
      <c r="Y45" s="26">
        <v>0</v>
      </c>
      <c r="Z45" s="3">
        <f>SUM(V45:Y45)</f>
        <v>0</v>
      </c>
      <c r="AA45" s="64" t="s">
        <v>259</v>
      </c>
      <c r="AB45" s="69">
        <v>20</v>
      </c>
      <c r="AC45" s="7" t="str">
        <f>IF(AND(V45=0,W45=0,X45=0,Y45=0),
"GD Round not attempted. Active participation is crucial.",
IF(V45=0,
"Participation not attempted. Engage more in discussions.",
IF(V45&gt;=4,
"Outstanding Participation. ",
IF(V45&gt;=2,
"Good Participation. ",
"Needs improvement in Participation. "))) &amp;
IF(W45=0,
"Communication not attempted. Focus on expressing ideas clearly.",
IF(W45&gt;=4,
"Outstanding Communication. ",
IF(W45&gt;=2,
"Good Communication. ",
"Needs improvement in Communication. "))) &amp;
IF(X45=0,
"Presence of Mind not attempted. Work on staying alert during discussions.",
IF(X45&gt;=4,
"Outstanding Presence of Mind. ",
IF(X45&gt;=2,
"Good Presence of Mind. ",
"Needs improvement in Presence of Mind. "))) &amp;
IF(Y45=0,
"Presentation not attempted. Enhance your presentation skills.",
IF(Y45&gt;=4,
"Outstanding Presentation. ",
IF(Y45&gt;=2,
"Good Presentation. ",
"Needs improvement in Presentation. "))))</f>
        <v>GD Round not attempted. Active participation is crucial.</v>
      </c>
      <c r="AD45" s="43">
        <v>0</v>
      </c>
      <c r="AE45" s="11">
        <v>0</v>
      </c>
      <c r="AF45" s="3">
        <v>0</v>
      </c>
      <c r="AG45" s="26">
        <v>0</v>
      </c>
      <c r="AH45" s="19">
        <f>SUM(AD45:AG45)</f>
        <v>0</v>
      </c>
      <c r="AI45" s="73" t="s">
        <v>259</v>
      </c>
      <c r="AJ45" s="76">
        <v>20</v>
      </c>
      <c r="AK45" s="45" t="str">
        <f>IF(AND(AD45=0,AE45=0,AF45=0,AG45=0),
"HR Round not attempted. It's essential to participate in all assessments.",
IF(AD45=0,
"Values not attempted. Reflect on your core values.",
IF(AD45&gt;=4,
"Outstanding understanding of Values. ",
IF(AD45&gt;=2,
"Good understanding of Values. ",
"Needs improvement in understanding Values. "))) &amp;
IF(AE45=0,
"Career Goal not attempted. Define your career objectives clearly.",
IF(AE45&gt;=4,
"Outstanding clarity in Career Goals. ",
IF(AE45&gt;=2,
"Good clarity in Career Goals. ",
"Needs improvement in defining Career Goals. "))) &amp;
IF(AF45=0,
"Behavior Skills not attempted. Work on interpersonal skills.",
IF(AF45&gt;=4,
"Outstanding Behavior Skills. ",
IF(AF45&gt;=2,
"Good Behavior Skills. ",
"Needs improvement in Behavior Skills. "))) &amp;
IF(AG45=0,
"Role Fitment not attempted. Assess your fit for the role.",
IF(AG45&gt;=4,
"Outstanding Role Fitment. ",
IF(AG45&gt;=2,
"Good Role Fitment. ",
"Needs improvement in Role Fitment. "))))</f>
        <v>HR Round not attempted. It's essential to participate in all assessments.</v>
      </c>
      <c r="AL45" s="65">
        <f>SUM(J45,R45,Z45,AH45)</f>
        <v>0</v>
      </c>
      <c r="AM45" s="57">
        <v>0</v>
      </c>
      <c r="AN45" s="70">
        <v>150</v>
      </c>
      <c r="AO45" s="64" t="s">
        <v>259</v>
      </c>
      <c r="AP45" s="52" t="str">
        <f>IF(AND(J45=0,R45=0,Z45=0,AH45=0),
"No participation in any assessment. Please ensure participation in future evaluations.",
IF(J45=0,
"Online Assessment not attempted. Focus on improving basic skills.",
IF(J45&gt;=67.5,
"Outstanding performance in Online Assessment. ",
IF(J45&gt;=45,
"Good performance in Online Assessment. ",
"Needs improvement in Online Assessment. "))) &amp;
IF(R45=0,
"Personal Interview not attempted. Active engagement is essential.",
IF(R45&gt;=16,
"Outstanding performance in Personal Interview. ",
IF(R45&gt;=10,
"Good performance in Personal Interview. ",
"Needs improvement in Personal Interview. "))) &amp;
IF(Z45=0,
"GD Round not attempted. Active participation is crucial.",
IF(Z45&gt;=16,
"Outstanding performance in GD Round. ",
IF(Z45&gt;=10,
"Good performance in GD Round. ",
"Needs improvement in GD Round. "))) &amp;
IF(AH45=0,
"HR Round not attempted. Engage in the assessment process.",
IF(AH45&gt;=16,
"Outstanding performance in HR Round. ",
IF(AH45&gt;=10,
"Good performance in HR Round. ",
"Needs improvement in HR Round."))))</f>
        <v>No participation in any assessment. Please ensure participation in future evaluations.</v>
      </c>
    </row>
    <row r="46" spans="1:42" ht="13">
      <c r="A46">
        <v>43</v>
      </c>
      <c r="B46" s="39" t="s">
        <v>235</v>
      </c>
      <c r="C46" s="40" t="s">
        <v>236</v>
      </c>
      <c r="D46" s="40">
        <v>9876669001</v>
      </c>
      <c r="E46" s="7" t="s">
        <v>253</v>
      </c>
      <c r="F46" s="7"/>
      <c r="G46" s="7"/>
      <c r="H46" s="7">
        <v>10.4</v>
      </c>
      <c r="I46" s="7">
        <v>37</v>
      </c>
      <c r="J46" s="28">
        <f>SUM(H46:I46)</f>
        <v>47.4</v>
      </c>
      <c r="K46" s="56">
        <v>47.4</v>
      </c>
      <c r="L46" s="28">
        <v>90</v>
      </c>
      <c r="M46" s="28" t="str">
        <f>IF(H46=0,
"Aptitude section not attempted. ",
IF(H46&gt;=33.75,
"Outstanding performance in Aptitude. ",
IF(H46&gt;=22.5,
"Good performance in Aptitude. ",
"Needs improvement in Aptitude. "))) &amp;
IF(I46=0,
" General MBA Questions section not attempted. ",
IF(I46&gt;=33.75,
" Outstanding performance in General MBA Questions. ",
IF(I46&gt;=22.5,
" Good performance in General MBA Questions. ",
" Needs improvement in General MBA Questions. ")))</f>
        <v xml:space="preserve">Needs improvement in Aptitude.  Outstanding performance in General MBA Questions. </v>
      </c>
      <c r="N46" s="11">
        <v>0</v>
      </c>
      <c r="O46" s="11">
        <v>0</v>
      </c>
      <c r="P46" s="11">
        <v>0</v>
      </c>
      <c r="Q46" s="11">
        <v>0</v>
      </c>
      <c r="R46" s="41">
        <f>SUM(N46:Q46)</f>
        <v>0</v>
      </c>
      <c r="S46" s="60" t="s">
        <v>259</v>
      </c>
      <c r="T46" s="41">
        <v>20</v>
      </c>
      <c r="U46" s="45" t="str">
        <f>IF(AND(N46=0,O46=0,P46=0,Q46=0),
"Personal Interview not attempted. Please ensure participation next time.",
IF(N46=0,
"Self Expression not attempted. Focus on articulating thoughts clearly.",
IF(N46&gt;=4,
"Outstanding Self Expression. ",
IF(N46&gt;=2,
"Good Self Expression. ",
"Needs improvement in Self Expression. "))) &amp;
IF(O46=0,
"Domain Knowledge not attempted. Focus on relevant topics.",
IF(O46&gt;=4,
"Outstanding performance in Domain Knowledge. ",
IF(O46&gt;=2,
"Good performance in Domain Knowledge. ",
"Needs improvement in Domain Knowledge. "))) &amp;
IF(P46=0,
"Thought Process not attempted. Work on organizing your thoughts.",
IF(P46&gt;=4,
"Outstanding Thought Process. ",
IF(P46&gt;=2,
"Good Thought Process. ",
"Needs improvement in Thought Process. "))) &amp;
IF(Q46=0,
"Problem Solving Skills not attempted. Focus on practice.",
IF(Q46&gt;=4,
"Outstanding Problem Solving Skills. ",
IF(Q46&gt;=2,
"Good Problem Solving Skills. ",
"Needs improvement in Problem Solving Skills. "))))</f>
        <v>Personal Interview not attempted. Please ensure participation next time.</v>
      </c>
      <c r="V46" s="43">
        <v>0</v>
      </c>
      <c r="W46" s="11">
        <v>0</v>
      </c>
      <c r="X46" s="3">
        <v>0</v>
      </c>
      <c r="Y46" s="87">
        <v>0</v>
      </c>
      <c r="Z46" s="3">
        <f>SUM(V46:Y46)</f>
        <v>0</v>
      </c>
      <c r="AA46" s="64" t="s">
        <v>259</v>
      </c>
      <c r="AB46" s="69">
        <v>20</v>
      </c>
      <c r="AC46" s="7" t="str">
        <f>IF(AND(V46=0,W46=0,X46=0,Y46=0),
"GD Round not attempted. Active participation is crucial.",
IF(V46=0,
"Participation not attempted. Engage more in discussions.",
IF(V46&gt;=4,
"Outstanding Participation. ",
IF(V46&gt;=2,
"Good Participation. ",
"Needs improvement in Participation. "))) &amp;
IF(W46=0,
"Communication not attempted. Focus on expressing ideas clearly.",
IF(W46&gt;=4,
"Outstanding Communication. ",
IF(W46&gt;=2,
"Good Communication. ",
"Needs improvement in Communication. "))) &amp;
IF(X46=0,
"Presence of Mind not attempted. Work on staying alert during discussions.",
IF(X46&gt;=4,
"Outstanding Presence of Mind. ",
IF(X46&gt;=2,
"Good Presence of Mind. ",
"Needs improvement in Presence of Mind. "))) &amp;
IF(Y46=0,
"Presentation not attempted. Enhance your presentation skills.",
IF(Y46&gt;=4,
"Outstanding Presentation. ",
IF(Y46&gt;=2,
"Good Presentation. ",
"Needs improvement in Presentation. "))))</f>
        <v>GD Round not attempted. Active participation is crucial.</v>
      </c>
      <c r="AD46" s="43">
        <v>0</v>
      </c>
      <c r="AE46" s="11">
        <v>0</v>
      </c>
      <c r="AF46" s="82">
        <v>0</v>
      </c>
      <c r="AG46" s="5">
        <v>0</v>
      </c>
      <c r="AH46" s="19">
        <f>SUM(AD46:AG46)</f>
        <v>0</v>
      </c>
      <c r="AI46" s="73" t="s">
        <v>259</v>
      </c>
      <c r="AJ46" s="76">
        <v>20</v>
      </c>
      <c r="AK46" s="45" t="str">
        <f>IF(AND(AD46=0,AE46=0,AF46=0,AG46=0),
"HR Round not attempted. It's essential to participate in all assessments.",
IF(AD46=0,
"Values not attempted. Reflect on your core values.",
IF(AD46&gt;=4,
"Outstanding understanding of Values. ",
IF(AD46&gt;=2,
"Good understanding of Values. ",
"Needs improvement in understanding Values. "))) &amp;
IF(AE46=0,
"Career Goal not attempted. Define your career objectives clearly.",
IF(AE46&gt;=4,
"Outstanding clarity in Career Goals. ",
IF(AE46&gt;=2,
"Good clarity in Career Goals. ",
"Needs improvement in defining Career Goals. "))) &amp;
IF(AF46=0,
"Behavior Skills not attempted. Work on interpersonal skills.",
IF(AF46&gt;=4,
"Outstanding Behavior Skills. ",
IF(AF46&gt;=2,
"Good Behavior Skills. ",
"Needs improvement in Behavior Skills. "))) &amp;
IF(AG46=0,
"Role Fitment not attempted. Assess your fit for the role.",
IF(AG46&gt;=4,
"Outstanding Role Fitment. ",
IF(AG46&gt;=2,
"Good Role Fitment. ",
"Needs improvement in Role Fitment. "))))</f>
        <v>HR Round not attempted. It's essential to participate in all assessments.</v>
      </c>
      <c r="AL46" s="65">
        <f>SUM(J46,R46,Z46,AH46)</f>
        <v>47.4</v>
      </c>
      <c r="AM46" s="57">
        <v>47.4</v>
      </c>
      <c r="AN46" s="70">
        <v>150</v>
      </c>
      <c r="AO46" s="57">
        <v>62</v>
      </c>
      <c r="AP46" s="52" t="str">
        <f>IF(AND(J46=0,R46=0,Z46=0,AH46=0),
"No participation in any assessment. Please ensure participation in future evaluations.",
IF(J46=0,
"Online Assessment not attempted. Focus on improving basic skills.",
IF(J46&gt;=67.5,
"Outstanding performance in Online Assessment. ",
IF(J46&gt;=45,
"Good performance in Online Assessment. ",
"Needs improvement in Online Assessment. "))) &amp;
IF(R46=0,
"Personal Interview not attempted. Active engagement is essential.",
IF(R46&gt;=16,
"Outstanding performance in Personal Interview. ",
IF(R46&gt;=10,
"Good performance in Personal Interview. ",
"Needs improvement in Personal Interview. "))) &amp;
IF(Z46=0,
"GD Round not attempted. Active participation is crucial.",
IF(Z46&gt;=16,
"Outstanding performance in GD Round. ",
IF(Z46&gt;=10,
"Good performance in GD Round. ",
"Needs improvement in GD Round. "))) &amp;
IF(AH46=0,
"HR Round not attempted. Engage in the assessment process.",
IF(AH46&gt;=16,
"Outstanding performance in HR Round. ",
IF(AH46&gt;=10,
"Good performance in HR Round. ",
"Needs improvement in HR Round."))))</f>
        <v>Good performance in Online Assessment. Personal Interview not attempted. Active engagement is essential.GD Round not attempted. Active participation is crucial.HR Round not attempted. Engage in the assessment process.</v>
      </c>
    </row>
    <row r="47" spans="1:42" ht="13">
      <c r="A47">
        <v>44</v>
      </c>
      <c r="B47" s="39" t="s">
        <v>239</v>
      </c>
      <c r="C47" s="40" t="s">
        <v>240</v>
      </c>
      <c r="D47" s="40">
        <v>8950457647</v>
      </c>
      <c r="E47" s="7" t="s">
        <v>253</v>
      </c>
      <c r="F47" s="7"/>
      <c r="G47" s="7"/>
      <c r="H47" s="7">
        <v>0</v>
      </c>
      <c r="I47" s="7">
        <v>0</v>
      </c>
      <c r="J47" s="28">
        <f>SUM(H47:I47)</f>
        <v>0</v>
      </c>
      <c r="K47" s="56" t="s">
        <v>259</v>
      </c>
      <c r="L47" s="28">
        <v>90</v>
      </c>
      <c r="M47" s="28" t="str">
        <f>IF(H47=0,
"Aptitude section not attempted. ",
IF(H47&gt;=33.75,
"Outstanding performance in Aptitude. ",
IF(H47&gt;=22.5,
"Good performance in Aptitude. ",
"Needs improvement in Aptitude. "))) &amp;
IF(I47=0,
" General MBA Questions section not attempted. ",
IF(I47&gt;=33.75,
" Outstanding performance in General MBA Questions. ",
IF(I47&gt;=22.5,
" Good performance in General MBA Questions. ",
" Needs improvement in General MBA Questions. ")))</f>
        <v xml:space="preserve">Aptitude section not attempted.  General MBA Questions section not attempted. </v>
      </c>
      <c r="N47" s="11">
        <v>0</v>
      </c>
      <c r="O47" s="11">
        <v>0</v>
      </c>
      <c r="P47" s="11">
        <v>0</v>
      </c>
      <c r="Q47" s="11">
        <v>0</v>
      </c>
      <c r="R47" s="41">
        <f>SUM(N47:Q47)</f>
        <v>0</v>
      </c>
      <c r="S47" s="60" t="s">
        <v>259</v>
      </c>
      <c r="T47" s="41">
        <v>20</v>
      </c>
      <c r="U47" s="45" t="str">
        <f>IF(AND(N47=0,O47=0,P47=0,Q47=0),
"Personal Interview not attempted. Please ensure participation next time.",
IF(N47=0,
"Self Expression not attempted. Focus on articulating thoughts clearly.",
IF(N47&gt;=4,
"Outstanding Self Expression. ",
IF(N47&gt;=2,
"Good Self Expression. ",
"Needs improvement in Self Expression. "))) &amp;
IF(O47=0,
"Domain Knowledge not attempted. Focus on relevant topics.",
IF(O47&gt;=4,
"Outstanding performance in Domain Knowledge. ",
IF(O47&gt;=2,
"Good performance in Domain Knowledge. ",
"Needs improvement in Domain Knowledge. "))) &amp;
IF(P47=0,
"Thought Process not attempted. Work on organizing your thoughts.",
IF(P47&gt;=4,
"Outstanding Thought Process. ",
IF(P47&gt;=2,
"Good Thought Process. ",
"Needs improvement in Thought Process. "))) &amp;
IF(Q47=0,
"Problem Solving Skills not attempted. Focus on practice.",
IF(Q47&gt;=4,
"Outstanding Problem Solving Skills. ",
IF(Q47&gt;=2,
"Good Problem Solving Skills. ",
"Needs improvement in Problem Solving Skills. "))))</f>
        <v>Personal Interview not attempted. Please ensure participation next time.</v>
      </c>
      <c r="V47" s="43">
        <v>0</v>
      </c>
      <c r="W47" s="11">
        <v>0</v>
      </c>
      <c r="X47" s="3">
        <v>0</v>
      </c>
      <c r="Y47">
        <v>0</v>
      </c>
      <c r="Z47" s="3">
        <f>SUM(V47:Y47)</f>
        <v>0</v>
      </c>
      <c r="AA47" s="64" t="s">
        <v>259</v>
      </c>
      <c r="AB47" s="69">
        <v>20</v>
      </c>
      <c r="AC47" s="7" t="str">
        <f>IF(AND(V47=0,W47=0,X47=0,Y47=0),
"GD Round not attempted. Active participation is crucial.",
IF(V47=0,
"Participation not attempted. Engage more in discussions.",
IF(V47&gt;=4,
"Outstanding Participation. ",
IF(V47&gt;=2,
"Good Participation. ",
"Needs improvement in Participation. "))) &amp;
IF(W47=0,
"Communication not attempted. Focus on expressing ideas clearly.",
IF(W47&gt;=4,
"Outstanding Communication. ",
IF(W47&gt;=2,
"Good Communication. ",
"Needs improvement in Communication. "))) &amp;
IF(X47=0,
"Presence of Mind not attempted. Work on staying alert during discussions.",
IF(X47&gt;=4,
"Outstanding Presence of Mind. ",
IF(X47&gt;=2,
"Good Presence of Mind. ",
"Needs improvement in Presence of Mind. "))) &amp;
IF(Y47=0,
"Presentation not attempted. Enhance your presentation skills.",
IF(Y47&gt;=4,
"Outstanding Presentation. ",
IF(Y47&gt;=2,
"Good Presentation. ",
"Needs improvement in Presentation. "))))</f>
        <v>GD Round not attempted. Active participation is crucial.</v>
      </c>
      <c r="AD47" s="43">
        <v>0</v>
      </c>
      <c r="AE47" s="11">
        <v>0</v>
      </c>
      <c r="AF47" s="3">
        <v>0</v>
      </c>
      <c r="AG47" s="26">
        <v>0</v>
      </c>
      <c r="AH47" s="19">
        <f>SUM(AD47:AG47)</f>
        <v>0</v>
      </c>
      <c r="AI47" s="73" t="s">
        <v>259</v>
      </c>
      <c r="AJ47" s="76">
        <v>20</v>
      </c>
      <c r="AK47" s="45" t="str">
        <f>IF(AND(AD47=0,AE47=0,AF47=0,AG47=0),
"HR Round not attempted. It's essential to participate in all assessments.",
IF(AD47=0,
"Values not attempted. Reflect on your core values.",
IF(AD47&gt;=4,
"Outstanding understanding of Values. ",
IF(AD47&gt;=2,
"Good understanding of Values. ",
"Needs improvement in understanding Values. "))) &amp;
IF(AE47=0,
"Career Goal not attempted. Define your career objectives clearly.",
IF(AE47&gt;=4,
"Outstanding clarity in Career Goals. ",
IF(AE47&gt;=2,
"Good clarity in Career Goals. ",
"Needs improvement in defining Career Goals. "))) &amp;
IF(AF47=0,
"Behavior Skills not attempted. Work on interpersonal skills.",
IF(AF47&gt;=4,
"Outstanding Behavior Skills. ",
IF(AF47&gt;=2,
"Good Behavior Skills. ",
"Needs improvement in Behavior Skills. "))) &amp;
IF(AG47=0,
"Role Fitment not attempted. Assess your fit for the role.",
IF(AG47&gt;=4,
"Outstanding Role Fitment. ",
IF(AG47&gt;=2,
"Good Role Fitment. ",
"Needs improvement in Role Fitment. "))))</f>
        <v>HR Round not attempted. It's essential to participate in all assessments.</v>
      </c>
      <c r="AL47" s="65">
        <f>SUM(J47,R47,Z47,AH47)</f>
        <v>0</v>
      </c>
      <c r="AM47" s="57">
        <v>0</v>
      </c>
      <c r="AN47" s="70">
        <v>150</v>
      </c>
      <c r="AO47" s="64" t="s">
        <v>259</v>
      </c>
      <c r="AP47" s="52" t="str">
        <f>IF(AND(J47=0,R47=0,Z47=0,AH47=0),
"No participation in any assessment. Please ensure participation in future evaluations.",
IF(J47=0,
"Online Assessment not attempted. Focus on improving basic skills.",
IF(J47&gt;=67.5,
"Outstanding performance in Online Assessment. ",
IF(J47&gt;=45,
"Good performance in Online Assessment. ",
"Needs improvement in Online Assessment. "))) &amp;
IF(R47=0,
"Personal Interview not attempted. Active engagement is essential.",
IF(R47&gt;=16,
"Outstanding performance in Personal Interview. ",
IF(R47&gt;=10,
"Good performance in Personal Interview. ",
"Needs improvement in Personal Interview. "))) &amp;
IF(Z47=0,
"GD Round not attempted. Active participation is crucial.",
IF(Z47&gt;=16,
"Outstanding performance in GD Round. ",
IF(Z47&gt;=10,
"Good performance in GD Round. ",
"Needs improvement in GD Round. "))) &amp;
IF(AH47=0,
"HR Round not attempted. Engage in the assessment process.",
IF(AH47&gt;=16,
"Outstanding performance in HR Round. ",
IF(AH47&gt;=10,
"Good performance in HR Round. ",
"Needs improvement in HR Round."))))</f>
        <v>No participation in any assessment. Please ensure participation in future evaluations.</v>
      </c>
    </row>
    <row r="48" spans="1:42" ht="13">
      <c r="A48">
        <v>45</v>
      </c>
      <c r="B48" s="39" t="s">
        <v>176</v>
      </c>
      <c r="C48" s="40" t="s">
        <v>177</v>
      </c>
      <c r="D48" s="40">
        <v>8360648869</v>
      </c>
      <c r="E48" s="7" t="s">
        <v>253</v>
      </c>
      <c r="F48" s="7"/>
      <c r="G48" s="7"/>
      <c r="H48" s="7">
        <v>9.75</v>
      </c>
      <c r="I48" s="7">
        <v>38</v>
      </c>
      <c r="J48" s="28">
        <f>SUM(H48:I48)</f>
        <v>47.75</v>
      </c>
      <c r="K48" s="56">
        <v>47.75</v>
      </c>
      <c r="L48" s="28">
        <v>90</v>
      </c>
      <c r="M48" s="28" t="str">
        <f>IF(H48=0,
"Aptitude section not attempted. ",
IF(H48&gt;=33.75,
"Outstanding performance in Aptitude. ",
IF(H48&gt;=22.5,
"Good performance in Aptitude. ",
"Needs improvement in Aptitude. "))) &amp;
IF(I48=0,
" General MBA Questions section not attempted. ",
IF(I48&gt;=33.75,
" Outstanding performance in General MBA Questions. ",
IF(I48&gt;=22.5,
" Good performance in General MBA Questions. ",
" Needs improvement in General MBA Questions. ")))</f>
        <v xml:space="preserve">Needs improvement in Aptitude.  Outstanding performance in General MBA Questions. </v>
      </c>
      <c r="N48" s="11">
        <v>0</v>
      </c>
      <c r="O48" s="11">
        <v>0</v>
      </c>
      <c r="P48" s="11">
        <v>0</v>
      </c>
      <c r="Q48" s="11">
        <v>0</v>
      </c>
      <c r="R48" s="41">
        <f>SUM(N48:Q48)</f>
        <v>0</v>
      </c>
      <c r="S48" s="60" t="s">
        <v>259</v>
      </c>
      <c r="T48" s="41">
        <v>20</v>
      </c>
      <c r="U48" s="45" t="str">
        <f>IF(AND(N48=0,O48=0,P48=0,Q48=0),
"Personal Interview not attempted. Please ensure participation next time.",
IF(N48=0,
"Self Expression not attempted. Focus on articulating thoughts clearly.",
IF(N48&gt;=4,
"Outstanding Self Expression. ",
IF(N48&gt;=2,
"Good Self Expression. ",
"Needs improvement in Self Expression. "))) &amp;
IF(O48=0,
"Domain Knowledge not attempted. Focus on relevant topics.",
IF(O48&gt;=4,
"Outstanding performance in Domain Knowledge. ",
IF(O48&gt;=2,
"Good performance in Domain Knowledge. ",
"Needs improvement in Domain Knowledge. "))) &amp;
IF(P48=0,
"Thought Process not attempted. Work on organizing your thoughts.",
IF(P48&gt;=4,
"Outstanding Thought Process. ",
IF(P48&gt;=2,
"Good Thought Process. ",
"Needs improvement in Thought Process. "))) &amp;
IF(Q48=0,
"Problem Solving Skills not attempted. Focus on practice.",
IF(Q48&gt;=4,
"Outstanding Problem Solving Skills. ",
IF(Q48&gt;=2,
"Good Problem Solving Skills. ",
"Needs improvement in Problem Solving Skills. "))))</f>
        <v>Personal Interview not attempted. Please ensure participation next time.</v>
      </c>
      <c r="V48" s="43">
        <v>2</v>
      </c>
      <c r="W48" s="11">
        <v>2</v>
      </c>
      <c r="X48" s="3">
        <v>2</v>
      </c>
      <c r="Y48" s="87">
        <v>2</v>
      </c>
      <c r="Z48" s="3">
        <f>SUM(V48:Y48)</f>
        <v>8</v>
      </c>
      <c r="AA48" s="57">
        <v>8</v>
      </c>
      <c r="AB48" s="69">
        <v>20</v>
      </c>
      <c r="AC48" s="7" t="str">
        <f>IF(AND(V48=0,W48=0,X48=0,Y48=0),
"GD Round not attempted. Active participation is crucial.",
IF(V48=0,
"Participation not attempted. Engage more in discussions.",
IF(V48&gt;=4,
"Outstanding Participation. ",
IF(V48&gt;=2,
"Good Participation. ",
"Needs improvement in Participation. "))) &amp;
IF(W48=0,
"Communication not attempted. Focus on expressing ideas clearly.",
IF(W48&gt;=4,
"Outstanding Communication. ",
IF(W48&gt;=2,
"Good Communication. ",
"Needs improvement in Communication. "))) &amp;
IF(X48=0,
"Presence of Mind not attempted. Work on staying alert during discussions.",
IF(X48&gt;=4,
"Outstanding Presence of Mind. ",
IF(X48&gt;=2,
"Good Presence of Mind. ",
"Needs improvement in Presence of Mind. "))) &amp;
IF(Y48=0,
"Presentation not attempted. Enhance your presentation skills.",
IF(Y48&gt;=4,
"Outstanding Presentation. ",
IF(Y48&gt;=2,
"Good Presentation. ",
"Needs improvement in Presentation. "))))</f>
        <v xml:space="preserve">Good Participation. Good Communication. Good Presence of Mind. Good Presentation. </v>
      </c>
      <c r="AD48" s="43">
        <v>0</v>
      </c>
      <c r="AE48" s="11">
        <v>0</v>
      </c>
      <c r="AF48" s="90">
        <v>0</v>
      </c>
      <c r="AG48" s="26">
        <v>0</v>
      </c>
      <c r="AH48" s="19">
        <f>SUM(AD48:AG48)</f>
        <v>0</v>
      </c>
      <c r="AI48" s="73" t="s">
        <v>259</v>
      </c>
      <c r="AJ48" s="76">
        <v>20</v>
      </c>
      <c r="AK48" s="45" t="str">
        <f>IF(AND(AD48=0,AE48=0,AF48=0,AG48=0),
"HR Round not attempted. It's essential to participate in all assessments.",
IF(AD48=0,
"Values not attempted. Reflect on your core values.",
IF(AD48&gt;=4,
"Outstanding understanding of Values. ",
IF(AD48&gt;=2,
"Good understanding of Values. ",
"Needs improvement in understanding Values. "))) &amp;
IF(AE48=0,
"Career Goal not attempted. Define your career objectives clearly.",
IF(AE48&gt;=4,
"Outstanding clarity in Career Goals. ",
IF(AE48&gt;=2,
"Good clarity in Career Goals. ",
"Needs improvement in defining Career Goals. "))) &amp;
IF(AF48=0,
"Behavior Skills not attempted. Work on interpersonal skills.",
IF(AF48&gt;=4,
"Outstanding Behavior Skills. ",
IF(AF48&gt;=2,
"Good Behavior Skills. ",
"Needs improvement in Behavior Skills. "))) &amp;
IF(AG48=0,
"Role Fitment not attempted. Assess your fit for the role.",
IF(AG48&gt;=4,
"Outstanding Role Fitment. ",
IF(AG48&gt;=2,
"Good Role Fitment. ",
"Needs improvement in Role Fitment. "))))</f>
        <v>HR Round not attempted. It's essential to participate in all assessments.</v>
      </c>
      <c r="AL48" s="65">
        <f>SUM(J48,R48,Z48,AH48)</f>
        <v>55.75</v>
      </c>
      <c r="AM48" s="57">
        <v>55.75</v>
      </c>
      <c r="AN48" s="70">
        <v>150</v>
      </c>
      <c r="AO48" s="57">
        <v>47</v>
      </c>
      <c r="AP48" s="52" t="str">
        <f>IF(AND(J48=0,R48=0,Z48=0,AH48=0),
"No participation in any assessment. Please ensure participation in future evaluations.",
IF(J48=0,
"Online Assessment not attempted. Focus on improving basic skills.",
IF(J48&gt;=67.5,
"Outstanding performance in Online Assessment. ",
IF(J48&gt;=45,
"Good performance in Online Assessment. ",
"Needs improvement in Online Assessment. "))) &amp;
IF(R48=0,
"Personal Interview not attempted. Active engagement is essential.",
IF(R48&gt;=16,
"Outstanding performance in Personal Interview. ",
IF(R48&gt;=10,
"Good performance in Personal Interview. ",
"Needs improvement in Personal Interview. "))) &amp;
IF(Z48=0,
"GD Round not attempted. Active participation is crucial.",
IF(Z48&gt;=16,
"Outstanding performance in GD Round. ",
IF(Z48&gt;=10,
"Good performance in GD Round. ",
"Needs improvement in GD Round. "))) &amp;
IF(AH48=0,
"HR Round not attempted. Engage in the assessment process.",
IF(AH48&gt;=16,
"Outstanding performance in HR Round. ",
IF(AH48&gt;=10,
"Good performance in HR Round. ",
"Needs improvement in HR Round."))))</f>
        <v>Good performance in Online Assessment. Personal Interview not attempted. Active engagement is essential.Needs improvement in GD Round. HR Round not attempted. Engage in the assessment process.</v>
      </c>
    </row>
    <row r="49" spans="1:42" ht="13">
      <c r="A49">
        <v>46</v>
      </c>
      <c r="B49" s="39" t="s">
        <v>171</v>
      </c>
      <c r="C49" s="7" t="s">
        <v>251</v>
      </c>
      <c r="D49" s="40">
        <v>6283905854</v>
      </c>
      <c r="E49" s="7" t="s">
        <v>253</v>
      </c>
      <c r="F49" s="7"/>
      <c r="G49" s="7"/>
      <c r="H49" s="7">
        <v>18.399999999999999</v>
      </c>
      <c r="I49" s="7">
        <v>34</v>
      </c>
      <c r="J49" s="28">
        <f>SUM(H49:I49)</f>
        <v>52.4</v>
      </c>
      <c r="K49" s="56" t="s">
        <v>258</v>
      </c>
      <c r="L49" s="28">
        <v>90</v>
      </c>
      <c r="M49" s="28" t="str">
        <f>IF(H49=0,
"Aptitude section not attempted. ",
IF(H49&gt;=33.75,
"Outstanding performance in Aptitude. ",
IF(H49&gt;=22.5,
"Good performance in Aptitude. ",
"Needs improvement in Aptitude. "))) &amp;
IF(I49=0,
" General MBA Questions section not attempted. ",
IF(I49&gt;=33.75,
" Outstanding performance in General MBA Questions. ",
IF(I49&gt;=22.5,
" Good performance in General MBA Questions. ",
" Needs improvement in General MBA Questions. ")))</f>
        <v xml:space="preserve">Needs improvement in Aptitude.  Outstanding performance in General MBA Questions. </v>
      </c>
      <c r="N49" s="7">
        <v>3</v>
      </c>
      <c r="O49" s="7">
        <v>4</v>
      </c>
      <c r="P49" s="7">
        <v>4</v>
      </c>
      <c r="Q49" s="7">
        <v>4</v>
      </c>
      <c r="R49" s="41">
        <f>SUM(N49:Q49)</f>
        <v>15</v>
      </c>
      <c r="S49" s="60">
        <v>15</v>
      </c>
      <c r="T49" s="41">
        <v>20</v>
      </c>
      <c r="U49" s="45" t="str">
        <f>IF(AND(N49=0,O49=0,P49=0,Q49=0),
"Personal Interview not attempted. Please ensure participation next time.",
IF(N49=0,
"Self Expression not attempted. Focus on articulating thoughts clearly.",
IF(N49&gt;=4,
"Outstanding Self Expression. ",
IF(N49&gt;=2,
"Good Self Expression. ",
"Needs improvement in Self Expression. "))) &amp;
IF(O49=0,
"Domain Knowledge not attempted. Focus on relevant topics.",
IF(O49&gt;=4,
"Outstanding performance in Domain Knowledge. ",
IF(O49&gt;=2,
"Good performance in Domain Knowledge. ",
"Needs improvement in Domain Knowledge. "))) &amp;
IF(P49=0,
"Thought Process not attempted. Work on organizing your thoughts.",
IF(P49&gt;=4,
"Outstanding Thought Process. ",
IF(P49&gt;=2,
"Good Thought Process. ",
"Needs improvement in Thought Process. "))) &amp;
IF(Q49=0,
"Problem Solving Skills not attempted. Focus on practice.",
IF(Q49&gt;=4,
"Outstanding Problem Solving Skills. ",
IF(Q49&gt;=2,
"Good Problem Solving Skills. ",
"Needs improvement in Problem Solving Skills. "))))</f>
        <v xml:space="preserve">Good Self Expression. Outstanding performance in Domain Knowledge. Outstanding Thought Process. Outstanding Problem Solving Skills. </v>
      </c>
      <c r="V49" s="43">
        <v>4</v>
      </c>
      <c r="W49" s="11">
        <v>4</v>
      </c>
      <c r="X49" s="3">
        <v>4</v>
      </c>
      <c r="Y49">
        <v>4</v>
      </c>
      <c r="Z49" s="3">
        <f>SUM(V49:Y49)</f>
        <v>16</v>
      </c>
      <c r="AA49" s="57">
        <v>16</v>
      </c>
      <c r="AB49" s="69">
        <v>20</v>
      </c>
      <c r="AC49" s="7" t="str">
        <f>IF(AND(V49=0,W49=0,X49=0,Y49=0),
"GD Round not attempted. Active participation is crucial.",
IF(V49=0,
"Participation not attempted. Engage more in discussions.",
IF(V49&gt;=4,
"Outstanding Participation. ",
IF(V49&gt;=2,
"Good Participation. ",
"Needs improvement in Participation. "))) &amp;
IF(W49=0,
"Communication not attempted. Focus on expressing ideas clearly.",
IF(W49&gt;=4,
"Outstanding Communication. ",
IF(W49&gt;=2,
"Good Communication. ",
"Needs improvement in Communication. "))) &amp;
IF(X49=0,
"Presence of Mind not attempted. Work on staying alert during discussions.",
IF(X49&gt;=4,
"Outstanding Presence of Mind. ",
IF(X49&gt;=2,
"Good Presence of Mind. ",
"Needs improvement in Presence of Mind. "))) &amp;
IF(Y49=0,
"Presentation not attempted. Enhance your presentation skills.",
IF(Y49&gt;=4,
"Outstanding Presentation. ",
IF(Y49&gt;=2,
"Good Presentation. ",
"Needs improvement in Presentation. "))))</f>
        <v xml:space="preserve">Outstanding Participation. Outstanding Communication. Outstanding Presence of Mind. Outstanding Presentation. </v>
      </c>
      <c r="AD49" s="46">
        <v>3</v>
      </c>
      <c r="AE49" s="7">
        <v>3.5</v>
      </c>
      <c r="AF49">
        <v>4</v>
      </c>
      <c r="AG49" s="26">
        <v>4</v>
      </c>
      <c r="AH49" s="19">
        <f>SUM(AD49:AG49)</f>
        <v>14.5</v>
      </c>
      <c r="AI49" s="73">
        <v>14.5</v>
      </c>
      <c r="AJ49" s="76">
        <v>20</v>
      </c>
      <c r="AK49" s="45" t="str">
        <f>IF(AND(AD49=0,AE49=0,AF49=0,AG49=0),
"HR Round not attempted. It's essential to participate in all assessments.",
IF(AD49=0,
"Values not attempted. Reflect on your core values.",
IF(AD49&gt;=4,
"Outstanding understanding of Values. ",
IF(AD49&gt;=2,
"Good understanding of Values. ",
"Needs improvement in understanding Values. "))) &amp;
IF(AE49=0,
"Career Goal not attempted. Define your career objectives clearly.",
IF(AE49&gt;=4,
"Outstanding clarity in Career Goals. ",
IF(AE49&gt;=2,
"Good clarity in Career Goals. ",
"Needs improvement in defining Career Goals. "))) &amp;
IF(AF49=0,
"Behavior Skills not attempted. Work on interpersonal skills.",
IF(AF49&gt;=4,
"Outstanding Behavior Skills. ",
IF(AF49&gt;=2,
"Good Behavior Skills. ",
"Needs improvement in Behavior Skills. "))) &amp;
IF(AG49=0,
"Role Fitment not attempted. Assess your fit for the role.",
IF(AG49&gt;=4,
"Outstanding Role Fitment. ",
IF(AG49&gt;=2,
"Good Role Fitment. ",
"Needs improvement in Role Fitment. "))))</f>
        <v xml:space="preserve">Good understanding of Values. Good clarity in Career Goals. Outstanding Behavior Skills. Outstanding Role Fitment. </v>
      </c>
      <c r="AL49" s="65">
        <f>SUM(J49,R49,Z49,AH49)</f>
        <v>97.9</v>
      </c>
      <c r="AM49" s="57">
        <v>97.9</v>
      </c>
      <c r="AN49" s="70">
        <v>150</v>
      </c>
      <c r="AO49" s="57">
        <v>1</v>
      </c>
      <c r="AP49" s="52" t="str">
        <f>IF(AND(J49=0,R49=0,Z49=0,AH49=0),
"No participation in any assessment. Please ensure participation in future evaluations.",
IF(J49=0,
"Online Assessment not attempted. Focus on improving basic skills.",
IF(J49&gt;=67.5,
"Outstanding performance in Online Assessment. ",
IF(J49&gt;=45,
"Good performance in Online Assessment. ",
"Needs improvement in Online Assessment. "))) &amp;
IF(R49=0,
"Personal Interview not attempted. Active engagement is essential.",
IF(R49&gt;=16,
"Outstanding performance in Personal Interview. ",
IF(R49&gt;=10,
"Good performance in Personal Interview. ",
"Needs improvement in Personal Interview. "))) &amp;
IF(Z49=0,
"GD Round not attempted. Active participation is crucial.",
IF(Z49&gt;=16,
"Outstanding performance in GD Round. ",
IF(Z49&gt;=10,
"Good performance in GD Round. ",
"Needs improvement in GD Round. "))) &amp;
IF(AH49=0,
"HR Round not attempted. Engage in the assessment process.",
IF(AH49&gt;=16,
"Outstanding performance in HR Round. ",
IF(AH49&gt;=10,
"Good performance in HR Round. ",
"Needs improvement in HR Round."))))</f>
        <v xml:space="preserve">Good performance in Online Assessment. Good performance in Personal Interview. Outstanding performance in GD Round. Good performance in HR Round. </v>
      </c>
    </row>
    <row r="50" spans="1:42" ht="13">
      <c r="A50">
        <v>47</v>
      </c>
      <c r="B50" s="39" t="s">
        <v>101</v>
      </c>
      <c r="C50" s="40" t="s">
        <v>102</v>
      </c>
      <c r="D50" s="40">
        <v>9115632733</v>
      </c>
      <c r="E50" s="7" t="s">
        <v>253</v>
      </c>
      <c r="F50" s="6"/>
      <c r="G50" s="6"/>
      <c r="H50" s="7">
        <v>11.65</v>
      </c>
      <c r="I50" s="7">
        <v>40</v>
      </c>
      <c r="J50" s="28">
        <f>SUM(H50:I50)</f>
        <v>51.65</v>
      </c>
      <c r="K50" s="56">
        <v>51.65</v>
      </c>
      <c r="L50" s="28">
        <v>90</v>
      </c>
      <c r="M50" s="28" t="str">
        <f>IF(H50=0,
"Aptitude section not attempted. ",
IF(H50&gt;=33.75,
"Outstanding performance in Aptitude. ",
IF(H50&gt;=22.5,
"Good performance in Aptitude. ",
"Needs improvement in Aptitude. "))) &amp;
IF(I50=0,
" General MBA Questions section not attempted. ",
IF(I50&gt;=33.75,
" Outstanding performance in General MBA Questions. ",
IF(I50&gt;=22.5,
" Good performance in General MBA Questions. ",
" Needs improvement in General MBA Questions. ")))</f>
        <v xml:space="preserve">Needs improvement in Aptitude.  Outstanding performance in General MBA Questions. </v>
      </c>
      <c r="N50" s="11">
        <v>4</v>
      </c>
      <c r="O50" s="11">
        <v>4</v>
      </c>
      <c r="P50" s="11">
        <v>5</v>
      </c>
      <c r="Q50" s="11">
        <v>4</v>
      </c>
      <c r="R50" s="41">
        <f>SUM(N50:Q50)</f>
        <v>17</v>
      </c>
      <c r="S50" s="60">
        <v>17</v>
      </c>
      <c r="T50" s="41">
        <v>20</v>
      </c>
      <c r="U50" s="45" t="str">
        <f>IF(AND(N50=0,O50=0,P50=0,Q50=0),
"Personal Interview not attempted. Please ensure participation next time.",
IF(N50=0,
"Self Expression not attempted. Focus on articulating thoughts clearly.",
IF(N50&gt;=4,
"Outstanding Self Expression. ",
IF(N50&gt;=2,
"Good Self Expression. ",
"Needs improvement in Self Expression. "))) &amp;
IF(O50=0,
"Domain Knowledge not attempted. Focus on relevant topics.",
IF(O50&gt;=4,
"Outstanding performance in Domain Knowledge. ",
IF(O50&gt;=2,
"Good performance in Domain Knowledge. ",
"Needs improvement in Domain Knowledge. "))) &amp;
IF(P50=0,
"Thought Process not attempted. Work on organizing your thoughts.",
IF(P50&gt;=4,
"Outstanding Thought Process. ",
IF(P50&gt;=2,
"Good Thought Process. ",
"Needs improvement in Thought Process. "))) &amp;
IF(Q50=0,
"Problem Solving Skills not attempted. Focus on practice.",
IF(Q50&gt;=4,
"Outstanding Problem Solving Skills. ",
IF(Q50&gt;=2,
"Good Problem Solving Skills. ",
"Needs improvement in Problem Solving Skills. "))))</f>
        <v xml:space="preserve">Outstanding Self Expression. Outstanding performance in Domain Knowledge. Outstanding Thought Process. Outstanding Problem Solving Skills. </v>
      </c>
      <c r="V50" s="43">
        <v>3</v>
      </c>
      <c r="W50" s="11">
        <v>3</v>
      </c>
      <c r="X50" s="3">
        <v>3</v>
      </c>
      <c r="Y50" s="88">
        <v>3</v>
      </c>
      <c r="Z50" s="3">
        <f>SUM(V50:Y50)</f>
        <v>12</v>
      </c>
      <c r="AA50" s="57">
        <v>12</v>
      </c>
      <c r="AB50" s="69">
        <v>20</v>
      </c>
      <c r="AC50" s="7" t="str">
        <f>IF(AND(V50=0,W50=0,X50=0,Y50=0),
"GD Round not attempted. Active participation is crucial.",
IF(V50=0,
"Participation not attempted. Engage more in discussions.",
IF(V50&gt;=4,
"Outstanding Participation. ",
IF(V50&gt;=2,
"Good Participation. ",
"Needs improvement in Participation. "))) &amp;
IF(W50=0,
"Communication not attempted. Focus on expressing ideas clearly.",
IF(W50&gt;=4,
"Outstanding Communication. ",
IF(W50&gt;=2,
"Good Communication. ",
"Needs improvement in Communication. "))) &amp;
IF(X50=0,
"Presence of Mind not attempted. Work on staying alert during discussions.",
IF(X50&gt;=4,
"Outstanding Presence of Mind. ",
IF(X50&gt;=2,
"Good Presence of Mind. ",
"Needs improvement in Presence of Mind. "))) &amp;
IF(Y50=0,
"Presentation not attempted. Enhance your presentation skills.",
IF(Y50&gt;=4,
"Outstanding Presentation. ",
IF(Y50&gt;=2,
"Good Presentation. ",
"Needs improvement in Presentation. "))))</f>
        <v xml:space="preserve">Good Participation. Good Communication. Good Presence of Mind. Good Presentation. </v>
      </c>
      <c r="AD50" s="43">
        <v>4</v>
      </c>
      <c r="AE50" s="11">
        <v>1</v>
      </c>
      <c r="AF50" s="11">
        <v>3</v>
      </c>
      <c r="AG50" s="10">
        <v>2</v>
      </c>
      <c r="AH50" s="19">
        <f>SUM(AD50:AG50)</f>
        <v>10</v>
      </c>
      <c r="AI50" s="73">
        <v>10</v>
      </c>
      <c r="AJ50" s="76">
        <v>20</v>
      </c>
      <c r="AK50" s="45" t="str">
        <f>IF(AND(AD50=0,AE50=0,AF50=0,AG50=0),
"HR Round not attempted. It's essential to participate in all assessments.",
IF(AD50=0,
"Values not attempted. Reflect on your core values.",
IF(AD50&gt;=4,
"Outstanding understanding of Values. ",
IF(AD50&gt;=2,
"Good understanding of Values. ",
"Needs improvement in understanding Values. "))) &amp;
IF(AE50=0,
"Career Goal not attempted. Define your career objectives clearly.",
IF(AE50&gt;=4,
"Outstanding clarity in Career Goals. ",
IF(AE50&gt;=2,
"Good clarity in Career Goals. ",
"Needs improvement in defining Career Goals. "))) &amp;
IF(AF50=0,
"Behavior Skills not attempted. Work on interpersonal skills.",
IF(AF50&gt;=4,
"Outstanding Behavior Skills. ",
IF(AF50&gt;=2,
"Good Behavior Skills. ",
"Needs improvement in Behavior Skills. "))) &amp;
IF(AG50=0,
"Role Fitment not attempted. Assess your fit for the role.",
IF(AG50&gt;=4,
"Outstanding Role Fitment. ",
IF(AG50&gt;=2,
"Good Role Fitment. ",
"Needs improvement in Role Fitment. "))))</f>
        <v xml:space="preserve">Outstanding understanding of Values. Needs improvement in defining Career Goals. Good Behavior Skills. Good Role Fitment. </v>
      </c>
      <c r="AL50" s="65">
        <f>SUM(J50,R50,Z50,AH50)</f>
        <v>90.65</v>
      </c>
      <c r="AM50" s="57">
        <v>90.65</v>
      </c>
      <c r="AN50" s="70">
        <v>150</v>
      </c>
      <c r="AO50" s="57">
        <v>3</v>
      </c>
      <c r="AP50" s="52" t="str">
        <f>IF(AND(J50=0,R50=0,Z50=0,AH50=0),
"No participation in any assessment. Please ensure participation in future evaluations.",
IF(J50=0,
"Online Assessment not attempted. Focus on improving basic skills.",
IF(J50&gt;=67.5,
"Outstanding performance in Online Assessment. ",
IF(J50&gt;=45,
"Good performance in Online Assessment. ",
"Needs improvement in Online Assessment. "))) &amp;
IF(R50=0,
"Personal Interview not attempted. Active engagement is essential.",
IF(R50&gt;=16,
"Outstanding performance in Personal Interview. ",
IF(R50&gt;=10,
"Good performance in Personal Interview. ",
"Needs improvement in Personal Interview. "))) &amp;
IF(Z50=0,
"GD Round not attempted. Active participation is crucial.",
IF(Z50&gt;=16,
"Outstanding performance in GD Round. ",
IF(Z50&gt;=10,
"Good performance in GD Round. ",
"Needs improvement in GD Round. "))) &amp;
IF(AH50=0,
"HR Round not attempted. Engage in the assessment process.",
IF(AH50&gt;=16,
"Outstanding performance in HR Round. ",
IF(AH50&gt;=10,
"Good performance in HR Round. ",
"Needs improvement in HR Round."))))</f>
        <v xml:space="preserve">Good performance in Online Assessment. Outstanding performance in Personal Interview. Good performance in GD Round. Good performance in HR Round. </v>
      </c>
    </row>
    <row r="51" spans="1:42" ht="13">
      <c r="A51">
        <v>48</v>
      </c>
      <c r="B51" s="39" t="s">
        <v>154</v>
      </c>
      <c r="C51" s="40" t="s">
        <v>155</v>
      </c>
      <c r="D51" s="40">
        <v>7888373520</v>
      </c>
      <c r="E51" s="7" t="s">
        <v>253</v>
      </c>
      <c r="F51" s="7"/>
      <c r="G51" s="7"/>
      <c r="H51" s="7">
        <v>11.6</v>
      </c>
      <c r="I51" s="7">
        <v>37</v>
      </c>
      <c r="J51" s="28">
        <f>SUM(H51:I51)</f>
        <v>48.6</v>
      </c>
      <c r="K51" s="56">
        <v>48.6</v>
      </c>
      <c r="L51" s="28">
        <v>90</v>
      </c>
      <c r="M51" s="28" t="str">
        <f>IF(H51=0,
"Aptitude section not attempted. ",
IF(H51&gt;=33.75,
"Outstanding performance in Aptitude. ",
IF(H51&gt;=22.5,
"Good performance in Aptitude. ",
"Needs improvement in Aptitude. "))) &amp;
IF(I51=0,
" General MBA Questions section not attempted. ",
IF(I51&gt;=33.75,
" Outstanding performance in General MBA Questions. ",
IF(I51&gt;=22.5,
" Good performance in General MBA Questions. ",
" Needs improvement in General MBA Questions. ")))</f>
        <v xml:space="preserve">Needs improvement in Aptitude.  Outstanding performance in General MBA Questions. </v>
      </c>
      <c r="N51" s="7">
        <v>3</v>
      </c>
      <c r="O51" s="7">
        <v>3.5</v>
      </c>
      <c r="P51" s="7">
        <v>3.5</v>
      </c>
      <c r="Q51" s="7">
        <v>3</v>
      </c>
      <c r="R51" s="41">
        <f>SUM(N51:Q51)</f>
        <v>13</v>
      </c>
      <c r="S51" s="60">
        <v>13</v>
      </c>
      <c r="T51" s="41">
        <v>20</v>
      </c>
      <c r="U51" s="45" t="str">
        <f>IF(AND(N51=0,O51=0,P51=0,Q51=0),
"Personal Interview not attempted. Please ensure participation next time.",
IF(N51=0,
"Self Expression not attempted. Focus on articulating thoughts clearly.",
IF(N51&gt;=4,
"Outstanding Self Expression. ",
IF(N51&gt;=2,
"Good Self Expression. ",
"Needs improvement in Self Expression. "))) &amp;
IF(O51=0,
"Domain Knowledge not attempted. Focus on relevant topics.",
IF(O51&gt;=4,
"Outstanding performance in Domain Knowledge. ",
IF(O51&gt;=2,
"Good performance in Domain Knowledge. ",
"Needs improvement in Domain Knowledge. "))) &amp;
IF(P51=0,
"Thought Process not attempted. Work on organizing your thoughts.",
IF(P51&gt;=4,
"Outstanding Thought Process. ",
IF(P51&gt;=2,
"Good Thought Process. ",
"Needs improvement in Thought Process. "))) &amp;
IF(Q51=0,
"Problem Solving Skills not attempted. Focus on practice.",
IF(Q51&gt;=4,
"Outstanding Problem Solving Skills. ",
IF(Q51&gt;=2,
"Good Problem Solving Skills. ",
"Needs improvement in Problem Solving Skills. "))))</f>
        <v xml:space="preserve">Good Self Expression. Good performance in Domain Knowledge. Good Thought Process. Good Problem Solving Skills. </v>
      </c>
      <c r="V51" s="43">
        <v>2</v>
      </c>
      <c r="W51" s="11">
        <v>2</v>
      </c>
      <c r="X51" s="3">
        <v>2</v>
      </c>
      <c r="Y51" s="87">
        <v>2</v>
      </c>
      <c r="Z51" s="3">
        <f>SUM(V51:Y51)</f>
        <v>8</v>
      </c>
      <c r="AA51" s="57">
        <v>8</v>
      </c>
      <c r="AB51" s="69">
        <v>20</v>
      </c>
      <c r="AC51" s="7" t="str">
        <f>IF(AND(V51=0,W51=0,X51=0,Y51=0),
"GD Round not attempted. Active participation is crucial.",
IF(V51=0,
"Participation not attempted. Engage more in discussions.",
IF(V51&gt;=4,
"Outstanding Participation. ",
IF(V51&gt;=2,
"Good Participation. ",
"Needs improvement in Participation. "))) &amp;
IF(W51=0,
"Communication not attempted. Focus on expressing ideas clearly.",
IF(W51&gt;=4,
"Outstanding Communication. ",
IF(W51&gt;=2,
"Good Communication. ",
"Needs improvement in Communication. "))) &amp;
IF(X51=0,
"Presence of Mind not attempted. Work on staying alert during discussions.",
IF(X51&gt;=4,
"Outstanding Presence of Mind. ",
IF(X51&gt;=2,
"Good Presence of Mind. ",
"Needs improvement in Presence of Mind. "))) &amp;
IF(Y51=0,
"Presentation not attempted. Enhance your presentation skills.",
IF(Y51&gt;=4,
"Outstanding Presentation. ",
IF(Y51&gt;=2,
"Good Presentation. ",
"Needs improvement in Presentation. "))))</f>
        <v xml:space="preserve">Good Participation. Good Communication. Good Presence of Mind. Good Presentation. </v>
      </c>
      <c r="AD51" s="46">
        <v>3</v>
      </c>
      <c r="AE51" s="7">
        <v>4</v>
      </c>
      <c r="AF51" s="7">
        <v>3.5</v>
      </c>
      <c r="AG51" s="5">
        <v>3</v>
      </c>
      <c r="AH51" s="19">
        <f>SUM(AD51:AG51)</f>
        <v>13.5</v>
      </c>
      <c r="AI51" s="73">
        <v>13.5</v>
      </c>
      <c r="AJ51" s="76">
        <v>20</v>
      </c>
      <c r="AK51" s="45" t="str">
        <f>IF(AND(AD51=0,AE51=0,AF51=0,AG51=0),
"HR Round not attempted. It's essential to participate in all assessments.",
IF(AD51=0,
"Values not attempted. Reflect on your core values.",
IF(AD51&gt;=4,
"Outstanding understanding of Values. ",
IF(AD51&gt;=2,
"Good understanding of Values. ",
"Needs improvement in understanding Values. "))) &amp;
IF(AE51=0,
"Career Goal not attempted. Define your career objectives clearly.",
IF(AE51&gt;=4,
"Outstanding clarity in Career Goals. ",
IF(AE51&gt;=2,
"Good clarity in Career Goals. ",
"Needs improvement in defining Career Goals. "))) &amp;
IF(AF51=0,
"Behavior Skills not attempted. Work on interpersonal skills.",
IF(AF51&gt;=4,
"Outstanding Behavior Skills. ",
IF(AF51&gt;=2,
"Good Behavior Skills. ",
"Needs improvement in Behavior Skills. "))) &amp;
IF(AG51=0,
"Role Fitment not attempted. Assess your fit for the role.",
IF(AG51&gt;=4,
"Outstanding Role Fitment. ",
IF(AG51&gt;=2,
"Good Role Fitment. ",
"Needs improvement in Role Fitment. "))))</f>
        <v xml:space="preserve">Good understanding of Values. Outstanding clarity in Career Goals. Good Behavior Skills. Good Role Fitment. </v>
      </c>
      <c r="AL51" s="65">
        <f>SUM(J51,R51,Z51,AH51)</f>
        <v>83.1</v>
      </c>
      <c r="AM51" s="57">
        <v>83.1</v>
      </c>
      <c r="AN51" s="70">
        <v>150</v>
      </c>
      <c r="AO51" s="57">
        <v>6</v>
      </c>
      <c r="AP51" s="52" t="str">
        <f>IF(AND(J51=0,R51=0,Z51=0,AH51=0),
"No participation in any assessment. Please ensure participation in future evaluations.",
IF(J51=0,
"Online Assessment not attempted. Focus on improving basic skills.",
IF(J51&gt;=67.5,
"Outstanding performance in Online Assessment. ",
IF(J51&gt;=45,
"Good performance in Online Assessment. ",
"Needs improvement in Online Assessment. "))) &amp;
IF(R51=0,
"Personal Interview not attempted. Active engagement is essential.",
IF(R51&gt;=16,
"Outstanding performance in Personal Interview. ",
IF(R51&gt;=10,
"Good performance in Personal Interview. ",
"Needs improvement in Personal Interview. "))) &amp;
IF(Z51=0,
"GD Round not attempted. Active participation is crucial.",
IF(Z51&gt;=16,
"Outstanding performance in GD Round. ",
IF(Z51&gt;=10,
"Good performance in GD Round. ",
"Needs improvement in GD Round. "))) &amp;
IF(AH51=0,
"HR Round not attempted. Engage in the assessment process.",
IF(AH51&gt;=16,
"Outstanding performance in HR Round. ",
IF(AH51&gt;=10,
"Good performance in HR Round. ",
"Needs improvement in HR Round."))))</f>
        <v xml:space="preserve">Good performance in Online Assessment. Good performance in Personal Interview. Needs improvement in GD Round. Good performance in HR Round. </v>
      </c>
    </row>
    <row r="52" spans="1:42" ht="13">
      <c r="A52">
        <v>49</v>
      </c>
      <c r="B52" s="39" t="s">
        <v>43</v>
      </c>
      <c r="C52" s="40" t="s">
        <v>44</v>
      </c>
      <c r="D52" s="40">
        <v>7018601308</v>
      </c>
      <c r="E52" s="7" t="s">
        <v>253</v>
      </c>
      <c r="F52" s="6"/>
      <c r="G52" s="6"/>
      <c r="H52" s="7">
        <v>11.65</v>
      </c>
      <c r="I52" s="7">
        <v>32</v>
      </c>
      <c r="J52" s="28">
        <f>SUM(H52:I52)</f>
        <v>43.65</v>
      </c>
      <c r="K52" s="56">
        <v>43.65</v>
      </c>
      <c r="L52" s="28">
        <v>90</v>
      </c>
      <c r="M52" s="28" t="str">
        <f>IF(H52=0,
"Aptitude section not attempted. ",
IF(H52&gt;=33.75,
"Outstanding performance in Aptitude. ",
IF(H52&gt;=22.5,
"Good performance in Aptitude. ",
"Needs improvement in Aptitude. "))) &amp;
IF(I52=0,
" General MBA Questions section not attempted. ",
IF(I52&gt;=33.75,
" Outstanding performance in General MBA Questions. ",
IF(I52&gt;=22.5,
" Good performance in General MBA Questions. ",
" Needs improvement in General MBA Questions. ")))</f>
        <v xml:space="preserve">Needs improvement in Aptitude.  Good performance in General MBA Questions. </v>
      </c>
      <c r="N52" s="11">
        <v>5</v>
      </c>
      <c r="O52" s="11">
        <v>4</v>
      </c>
      <c r="P52" s="11">
        <v>4</v>
      </c>
      <c r="Q52" s="11">
        <v>4</v>
      </c>
      <c r="R52" s="41">
        <f>SUM(N52:Q52)</f>
        <v>17</v>
      </c>
      <c r="S52" s="60">
        <v>17</v>
      </c>
      <c r="T52" s="41">
        <v>20</v>
      </c>
      <c r="U52" s="45" t="str">
        <f>IF(AND(N52=0,O52=0,P52=0,Q52=0),
"Personal Interview not attempted. Please ensure participation next time.",
IF(N52=0,
"Self Expression not attempted. Focus on articulating thoughts clearly.",
IF(N52&gt;=4,
"Outstanding Self Expression. ",
IF(N52&gt;=2,
"Good Self Expression. ",
"Needs improvement in Self Expression. "))) &amp;
IF(O52=0,
"Domain Knowledge not attempted. Focus on relevant topics.",
IF(O52&gt;=4,
"Outstanding performance in Domain Knowledge. ",
IF(O52&gt;=2,
"Good performance in Domain Knowledge. ",
"Needs improvement in Domain Knowledge. "))) &amp;
IF(P52=0,
"Thought Process not attempted. Work on organizing your thoughts.",
IF(P52&gt;=4,
"Outstanding Thought Process. ",
IF(P52&gt;=2,
"Good Thought Process. ",
"Needs improvement in Thought Process. "))) &amp;
IF(Q52=0,
"Problem Solving Skills not attempted. Focus on practice.",
IF(Q52&gt;=4,
"Outstanding Problem Solving Skills. ",
IF(Q52&gt;=2,
"Good Problem Solving Skills. ",
"Needs improvement in Problem Solving Skills. "))))</f>
        <v xml:space="preserve">Outstanding Self Expression. Outstanding performance in Domain Knowledge. Outstanding Thought Process. Outstanding Problem Solving Skills. </v>
      </c>
      <c r="V52" s="43">
        <v>2</v>
      </c>
      <c r="W52" s="11">
        <v>2</v>
      </c>
      <c r="X52" s="3">
        <v>2</v>
      </c>
      <c r="Y52">
        <v>2</v>
      </c>
      <c r="Z52" s="3">
        <f>SUM(V52:Y52)</f>
        <v>8</v>
      </c>
      <c r="AA52" s="57">
        <v>8</v>
      </c>
      <c r="AB52" s="69">
        <v>20</v>
      </c>
      <c r="AC52" s="7" t="str">
        <f>IF(AND(V52=0,W52=0,X52=0,Y52=0),
"GD Round not attempted. Active participation is crucial.",
IF(V52=0,
"Participation not attempted. Engage more in discussions.",
IF(V52&gt;=4,
"Outstanding Participation. ",
IF(V52&gt;=2,
"Good Participation. ",
"Needs improvement in Participation. "))) &amp;
IF(W52=0,
"Communication not attempted. Focus on expressing ideas clearly.",
IF(W52&gt;=4,
"Outstanding Communication. ",
IF(W52&gt;=2,
"Good Communication. ",
"Needs improvement in Communication. "))) &amp;
IF(X52=0,
"Presence of Mind not attempted. Work on staying alert during discussions.",
IF(X52&gt;=4,
"Outstanding Presence of Mind. ",
IF(X52&gt;=2,
"Good Presence of Mind. ",
"Needs improvement in Presence of Mind. "))) &amp;
IF(Y52=0,
"Presentation not attempted. Enhance your presentation skills.",
IF(Y52&gt;=4,
"Outstanding Presentation. ",
IF(Y52&gt;=2,
"Good Presentation. ",
"Needs improvement in Presentation. "))))</f>
        <v xml:space="preserve">Good Participation. Good Communication. Good Presence of Mind. Good Presentation. </v>
      </c>
      <c r="AD52" s="43">
        <v>3</v>
      </c>
      <c r="AE52" s="11">
        <v>2</v>
      </c>
      <c r="AF52" s="11">
        <v>4</v>
      </c>
      <c r="AG52" s="10">
        <v>5</v>
      </c>
      <c r="AH52" s="19">
        <f>SUM(AD52:AG52)</f>
        <v>14</v>
      </c>
      <c r="AI52" s="73">
        <v>14</v>
      </c>
      <c r="AJ52" s="76">
        <v>20</v>
      </c>
      <c r="AK52" s="45" t="str">
        <f>IF(AND(AD52=0,AE52=0,AF52=0,AG52=0),
"HR Round not attempted. It's essential to participate in all assessments.",
IF(AD52=0,
"Values not attempted. Reflect on your core values.",
IF(AD52&gt;=4,
"Outstanding understanding of Values. ",
IF(AD52&gt;=2,
"Good understanding of Values. ",
"Needs improvement in understanding Values. "))) &amp;
IF(AE52=0,
"Career Goal not attempted. Define your career objectives clearly.",
IF(AE52&gt;=4,
"Outstanding clarity in Career Goals. ",
IF(AE52&gt;=2,
"Good clarity in Career Goals. ",
"Needs improvement in defining Career Goals. "))) &amp;
IF(AF52=0,
"Behavior Skills not attempted. Work on interpersonal skills.",
IF(AF52&gt;=4,
"Outstanding Behavior Skills. ",
IF(AF52&gt;=2,
"Good Behavior Skills. ",
"Needs improvement in Behavior Skills. "))) &amp;
IF(AG52=0,
"Role Fitment not attempted. Assess your fit for the role.",
IF(AG52&gt;=4,
"Outstanding Role Fitment. ",
IF(AG52&gt;=2,
"Good Role Fitment. ",
"Needs improvement in Role Fitment. "))))</f>
        <v xml:space="preserve">Good understanding of Values. Good clarity in Career Goals. Outstanding Behavior Skills. Outstanding Role Fitment. </v>
      </c>
      <c r="AL52" s="65">
        <f>SUM(J52,R52,Z52,AH52)</f>
        <v>82.65</v>
      </c>
      <c r="AM52" s="57">
        <v>82.65</v>
      </c>
      <c r="AN52" s="70">
        <v>150</v>
      </c>
      <c r="AO52" s="57">
        <v>7</v>
      </c>
      <c r="AP52" s="52" t="str">
        <f>IF(AND(J52=0,R52=0,Z52=0,AH52=0),
"No participation in any assessment. Please ensure participation in future evaluations.",
IF(J52=0,
"Online Assessment not attempted. Focus on improving basic skills.",
IF(J52&gt;=67.5,
"Outstanding performance in Online Assessment. ",
IF(J52&gt;=45,
"Good performance in Online Assessment. ",
"Needs improvement in Online Assessment. "))) &amp;
IF(R52=0,
"Personal Interview not attempted. Active engagement is essential.",
IF(R52&gt;=16,
"Outstanding performance in Personal Interview. ",
IF(R52&gt;=10,
"Good performance in Personal Interview. ",
"Needs improvement in Personal Interview. "))) &amp;
IF(Z52=0,
"GD Round not attempted. Active participation is crucial.",
IF(Z52&gt;=16,
"Outstanding performance in GD Round. ",
IF(Z52&gt;=10,
"Good performance in GD Round. ",
"Needs improvement in GD Round. "))) &amp;
IF(AH52=0,
"HR Round not attempted. Engage in the assessment process.",
IF(AH52&gt;=16,
"Outstanding performance in HR Round. ",
IF(AH52&gt;=10,
"Good performance in HR Round. ",
"Needs improvement in HR Round."))))</f>
        <v xml:space="preserve">Needs improvement in Online Assessment. Outstanding performance in Personal Interview. Needs improvement in GD Round. Good performance in HR Round. </v>
      </c>
    </row>
    <row r="53" spans="1:42" ht="13">
      <c r="A53">
        <v>50</v>
      </c>
      <c r="B53" s="39" t="s">
        <v>69</v>
      </c>
      <c r="C53" s="40" t="s">
        <v>70</v>
      </c>
      <c r="D53" s="40">
        <v>7986115078</v>
      </c>
      <c r="E53" s="7" t="s">
        <v>253</v>
      </c>
      <c r="F53" s="4"/>
      <c r="G53" s="4"/>
      <c r="H53" s="7">
        <v>10.95</v>
      </c>
      <c r="I53" s="7">
        <v>27</v>
      </c>
      <c r="J53" s="28">
        <f>SUM(H53:I53)</f>
        <v>37.950000000000003</v>
      </c>
      <c r="K53" s="56">
        <v>37.950000000000003</v>
      </c>
      <c r="L53" s="28">
        <v>90</v>
      </c>
      <c r="M53" s="28" t="str">
        <f>IF(H53=0,
"Aptitude section not attempted. ",
IF(H53&gt;=33.75,
"Outstanding performance in Aptitude. ",
IF(H53&gt;=22.5,
"Good performance in Aptitude. ",
"Needs improvement in Aptitude. "))) &amp;
IF(I53=0,
" General MBA Questions section not attempted. ",
IF(I53&gt;=33.75,
" Outstanding performance in General MBA Questions. ",
IF(I53&gt;=22.5,
" Good performance in General MBA Questions. ",
" Needs improvement in General MBA Questions. ")))</f>
        <v xml:space="preserve">Needs improvement in Aptitude.  Good performance in General MBA Questions. </v>
      </c>
      <c r="N53" s="11">
        <v>4</v>
      </c>
      <c r="O53" s="11">
        <v>3</v>
      </c>
      <c r="P53" s="11">
        <v>4</v>
      </c>
      <c r="Q53" s="11">
        <v>5</v>
      </c>
      <c r="R53" s="41">
        <f>SUM(N53:Q53)</f>
        <v>16</v>
      </c>
      <c r="S53" s="60">
        <v>16</v>
      </c>
      <c r="T53" s="41">
        <v>20</v>
      </c>
      <c r="U53" s="45" t="str">
        <f>IF(AND(N53=0,O53=0,P53=0,Q53=0),
"Personal Interview not attempted. Please ensure participation next time.",
IF(N53=0,
"Self Expression not attempted. Focus on articulating thoughts clearly.",
IF(N53&gt;=4,
"Outstanding Self Expression. ",
IF(N53&gt;=2,
"Good Self Expression. ",
"Needs improvement in Self Expression. "))) &amp;
IF(O53=0,
"Domain Knowledge not attempted. Focus on relevant topics.",
IF(O53&gt;=4,
"Outstanding performance in Domain Knowledge. ",
IF(O53&gt;=2,
"Good performance in Domain Knowledge. ",
"Needs improvement in Domain Knowledge. "))) &amp;
IF(P53=0,
"Thought Process not attempted. Work on organizing your thoughts.",
IF(P53&gt;=4,
"Outstanding Thought Process. ",
IF(P53&gt;=2,
"Good Thought Process. ",
"Needs improvement in Thought Process. "))) &amp;
IF(Q53=0,
"Problem Solving Skills not attempted. Focus on practice.",
IF(Q53&gt;=4,
"Outstanding Problem Solving Skills. ",
IF(Q53&gt;=2,
"Good Problem Solving Skills. ",
"Needs improvement in Problem Solving Skills. "))))</f>
        <v xml:space="preserve">Outstanding Self Expression. Good performance in Domain Knowledge. Outstanding Thought Process. Outstanding Problem Solving Skills. </v>
      </c>
      <c r="V53" s="43">
        <v>2</v>
      </c>
      <c r="W53" s="11">
        <v>2</v>
      </c>
      <c r="X53" s="3">
        <v>2</v>
      </c>
      <c r="Y53" s="87">
        <v>2</v>
      </c>
      <c r="Z53" s="3">
        <f>SUM(V53:Y53)</f>
        <v>8</v>
      </c>
      <c r="AA53" s="57">
        <v>8</v>
      </c>
      <c r="AB53" s="69">
        <v>20</v>
      </c>
      <c r="AC53" s="7" t="str">
        <f>IF(AND(V53=0,W53=0,X53=0,Y53=0),
"GD Round not attempted. Active participation is crucial.",
IF(V53=0,
"Participation not attempted. Engage more in discussions.",
IF(V53&gt;=4,
"Outstanding Participation. ",
IF(V53&gt;=2,
"Good Participation. ",
"Needs improvement in Participation. "))) &amp;
IF(W53=0,
"Communication not attempted. Focus on expressing ideas clearly.",
IF(W53&gt;=4,
"Outstanding Communication. ",
IF(W53&gt;=2,
"Good Communication. ",
"Needs improvement in Communication. "))) &amp;
IF(X53=0,
"Presence of Mind not attempted. Work on staying alert during discussions.",
IF(X53&gt;=4,
"Outstanding Presence of Mind. ",
IF(X53&gt;=2,
"Good Presence of Mind. ",
"Needs improvement in Presence of Mind. "))) &amp;
IF(Y53=0,
"Presentation not attempted. Enhance your presentation skills.",
IF(Y53&gt;=4,
"Outstanding Presentation. ",
IF(Y53&gt;=2,
"Good Presentation. ",
"Needs improvement in Presentation. "))))</f>
        <v xml:space="preserve">Good Participation. Good Communication. Good Presence of Mind. Good Presentation. </v>
      </c>
      <c r="AD53" s="43">
        <v>4</v>
      </c>
      <c r="AE53" s="11">
        <v>4</v>
      </c>
      <c r="AF53" s="18">
        <v>5</v>
      </c>
      <c r="AG53" s="25">
        <v>4</v>
      </c>
      <c r="AH53" s="19">
        <f>SUM(AD53:AG53)</f>
        <v>17</v>
      </c>
      <c r="AI53" s="73">
        <v>17</v>
      </c>
      <c r="AJ53" s="76">
        <v>20</v>
      </c>
      <c r="AK53" s="45" t="str">
        <f>IF(AND(AD53=0,AE53=0,AF53=0,AG53=0),
"HR Round not attempted. It's essential to participate in all assessments.",
IF(AD53=0,
"Values not attempted. Reflect on your core values.",
IF(AD53&gt;=4,
"Outstanding understanding of Values. ",
IF(AD53&gt;=2,
"Good understanding of Values. ",
"Needs improvement in understanding Values. "))) &amp;
IF(AE53=0,
"Career Goal not attempted. Define your career objectives clearly.",
IF(AE53&gt;=4,
"Outstanding clarity in Career Goals. ",
IF(AE53&gt;=2,
"Good clarity in Career Goals. ",
"Needs improvement in defining Career Goals. "))) &amp;
IF(AF53=0,
"Behavior Skills not attempted. Work on interpersonal skills.",
IF(AF53&gt;=4,
"Outstanding Behavior Skills. ",
IF(AF53&gt;=2,
"Good Behavior Skills. ",
"Needs improvement in Behavior Skills. "))) &amp;
IF(AG53=0,
"Role Fitment not attempted. Assess your fit for the role.",
IF(AG53&gt;=4,
"Outstanding Role Fitment. ",
IF(AG53&gt;=2,
"Good Role Fitment. ",
"Needs improvement in Role Fitment. "))))</f>
        <v xml:space="preserve">Outstanding understanding of Values. Outstanding clarity in Career Goals. Outstanding Behavior Skills. Outstanding Role Fitment. </v>
      </c>
      <c r="AL53" s="65">
        <f>SUM(J53,R53,Z53,AH53)</f>
        <v>78.95</v>
      </c>
      <c r="AM53" s="57">
        <v>78.95</v>
      </c>
      <c r="AN53" s="70">
        <v>150</v>
      </c>
      <c r="AO53" s="57">
        <v>8</v>
      </c>
      <c r="AP53" s="52" t="str">
        <f>IF(AND(J53=0,R53=0,Z53=0,AH53=0),
"No participation in any assessment. Please ensure participation in future evaluations.",
IF(J53=0,
"Online Assessment not attempted. Focus on improving basic skills.",
IF(J53&gt;=67.5,
"Outstanding performance in Online Assessment. ",
IF(J53&gt;=45,
"Good performance in Online Assessment. ",
"Needs improvement in Online Assessment. "))) &amp;
IF(R53=0,
"Personal Interview not attempted. Active engagement is essential.",
IF(R53&gt;=16,
"Outstanding performance in Personal Interview. ",
IF(R53&gt;=10,
"Good performance in Personal Interview. ",
"Needs improvement in Personal Interview. "))) &amp;
IF(Z53=0,
"GD Round not attempted. Active participation is crucial.",
IF(Z53&gt;=16,
"Outstanding performance in GD Round. ",
IF(Z53&gt;=10,
"Good performance in GD Round. ",
"Needs improvement in GD Round. "))) &amp;
IF(AH53=0,
"HR Round not attempted. Engage in the assessment process.",
IF(AH53&gt;=16,
"Outstanding performance in HR Round. ",
IF(AH53&gt;=10,
"Good performance in HR Round. ",
"Needs improvement in HR Round."))))</f>
        <v xml:space="preserve">Needs improvement in Online Assessment. Outstanding performance in Personal Interview. Needs improvement in GD Round. Outstanding performance in HR Round. </v>
      </c>
    </row>
    <row r="54" spans="1:42" ht="15.75" customHeight="1">
      <c r="A54">
        <v>51</v>
      </c>
      <c r="B54" s="39" t="s">
        <v>200</v>
      </c>
      <c r="C54" s="7" t="s">
        <v>246</v>
      </c>
      <c r="D54" s="40">
        <v>8427216281</v>
      </c>
      <c r="E54" s="7" t="s">
        <v>253</v>
      </c>
      <c r="F54" s="7"/>
      <c r="G54" s="7"/>
      <c r="H54" s="7">
        <v>14.85</v>
      </c>
      <c r="I54" s="7">
        <v>39</v>
      </c>
      <c r="J54" s="28">
        <f>SUM(H54:I54)</f>
        <v>53.85</v>
      </c>
      <c r="K54" s="56">
        <v>53.85</v>
      </c>
      <c r="L54" s="28">
        <v>90</v>
      </c>
      <c r="M54" s="28" t="str">
        <f>IF(H54=0,
"Aptitude section not attempted. ",
IF(H54&gt;=33.75,
"Outstanding performance in Aptitude. ",
IF(H54&gt;=22.5,
"Good performance in Aptitude. ",
"Needs improvement in Aptitude. "))) &amp;
IF(I54=0,
" General MBA Questions section not attempted. ",
IF(I54&gt;=33.75,
" Outstanding performance in General MBA Questions. ",
IF(I54&gt;=22.5,
" Good performance in General MBA Questions. ",
" Needs improvement in General MBA Questions. ")))</f>
        <v xml:space="preserve">Needs improvement in Aptitude.  Outstanding performance in General MBA Questions. </v>
      </c>
      <c r="N54" s="11">
        <v>4</v>
      </c>
      <c r="O54" s="11">
        <v>3</v>
      </c>
      <c r="P54" s="11">
        <v>4</v>
      </c>
      <c r="Q54" s="11">
        <v>4</v>
      </c>
      <c r="R54" s="41">
        <f>SUM(N54:Q54)</f>
        <v>15</v>
      </c>
      <c r="S54" s="60">
        <v>15</v>
      </c>
      <c r="T54" s="41">
        <v>20</v>
      </c>
      <c r="U54" s="45" t="str">
        <f>IF(AND(N54=0,O54=0,P54=0,Q54=0),
"Personal Interview not attempted. Please ensure participation next time.",
IF(N54=0,
"Self Expression not attempted. Focus on articulating thoughts clearly.",
IF(N54&gt;=4,
"Outstanding Self Expression. ",
IF(N54&gt;=2,
"Good Self Expression. ",
"Needs improvement in Self Expression. "))) &amp;
IF(O54=0,
"Domain Knowledge not attempted. Focus on relevant topics.",
IF(O54&gt;=4,
"Outstanding performance in Domain Knowledge. ",
IF(O54&gt;=2,
"Good performance in Domain Knowledge. ",
"Needs improvement in Domain Knowledge. "))) &amp;
IF(P54=0,
"Thought Process not attempted. Work on organizing your thoughts.",
IF(P54&gt;=4,
"Outstanding Thought Process. ",
IF(P54&gt;=2,
"Good Thought Process. ",
"Needs improvement in Thought Process. "))) &amp;
IF(Q54=0,
"Problem Solving Skills not attempted. Focus on practice.",
IF(Q54&gt;=4,
"Outstanding Problem Solving Skills. ",
IF(Q54&gt;=2,
"Good Problem Solving Skills. ",
"Needs improvement in Problem Solving Skills. "))))</f>
        <v xml:space="preserve">Outstanding Self Expression. Good performance in Domain Knowledge. Outstanding Thought Process. Outstanding Problem Solving Skills. </v>
      </c>
      <c r="V54" s="43">
        <v>2</v>
      </c>
      <c r="W54" s="11">
        <v>3</v>
      </c>
      <c r="X54" s="3">
        <v>3</v>
      </c>
      <c r="Y54" s="25">
        <v>2</v>
      </c>
      <c r="Z54" s="3">
        <f>SUM(V54:Y54)</f>
        <v>10</v>
      </c>
      <c r="AA54" s="57">
        <v>10</v>
      </c>
      <c r="AB54" s="69">
        <v>20</v>
      </c>
      <c r="AC54" s="7" t="str">
        <f>IF(AND(V54=0,W54=0,X54=0,Y54=0),
"GD Round not attempted. Active participation is crucial.",
IF(V54=0,
"Participation not attempted. Engage more in discussions.",
IF(V54&gt;=4,
"Outstanding Participation. ",
IF(V54&gt;=2,
"Good Participation. ",
"Needs improvement in Participation. "))) &amp;
IF(W54=0,
"Communication not attempted. Focus on expressing ideas clearly.",
IF(W54&gt;=4,
"Outstanding Communication. ",
IF(W54&gt;=2,
"Good Communication. ",
"Needs improvement in Communication. "))) &amp;
IF(X54=0,
"Presence of Mind not attempted. Work on staying alert during discussions.",
IF(X54&gt;=4,
"Outstanding Presence of Mind. ",
IF(X54&gt;=2,
"Good Presence of Mind. ",
"Needs improvement in Presence of Mind. "))) &amp;
IF(Y54=0,
"Presentation not attempted. Enhance your presentation skills.",
IF(Y54&gt;=4,
"Outstanding Presentation. ",
IF(Y54&gt;=2,
"Good Presentation. ",
"Needs improvement in Presentation. "))))</f>
        <v xml:space="preserve">Good Participation. Good Communication. Good Presence of Mind. Good Presentation. </v>
      </c>
      <c r="AD54" s="43">
        <v>0</v>
      </c>
      <c r="AE54" s="11">
        <v>0</v>
      </c>
      <c r="AF54" s="3">
        <v>0</v>
      </c>
      <c r="AG54" s="26">
        <v>0</v>
      </c>
      <c r="AH54" s="19">
        <f>SUM(AD54:AG54)</f>
        <v>0</v>
      </c>
      <c r="AI54" s="73" t="s">
        <v>259</v>
      </c>
      <c r="AJ54" s="76">
        <v>20</v>
      </c>
      <c r="AK54" s="45" t="str">
        <f>IF(AND(AD54=0,AE54=0,AF54=0,AG54=0),
"HR Round not attempted. It's essential to participate in all assessments.",
IF(AD54=0,
"Values not attempted. Reflect on your core values.",
IF(AD54&gt;=4,
"Outstanding understanding of Values. ",
IF(AD54&gt;=2,
"Good understanding of Values. ",
"Needs improvement in understanding Values. "))) &amp;
IF(AE54=0,
"Career Goal not attempted. Define your career objectives clearly.",
IF(AE54&gt;=4,
"Outstanding clarity in Career Goals. ",
IF(AE54&gt;=2,
"Good clarity in Career Goals. ",
"Needs improvement in defining Career Goals. "))) &amp;
IF(AF54=0,
"Behavior Skills not attempted. Work on interpersonal skills.",
IF(AF54&gt;=4,
"Outstanding Behavior Skills. ",
IF(AF54&gt;=2,
"Good Behavior Skills. ",
"Needs improvement in Behavior Skills. "))) &amp;
IF(AG54=0,
"Role Fitment not attempted. Assess your fit for the role.",
IF(AG54&gt;=4,
"Outstanding Role Fitment. ",
IF(AG54&gt;=2,
"Good Role Fitment. ",
"Needs improvement in Role Fitment. "))))</f>
        <v>HR Round not attempted. It's essential to participate in all assessments.</v>
      </c>
      <c r="AL54" s="65">
        <f>SUM(J54,R54,Z54,AH54)</f>
        <v>78.849999999999994</v>
      </c>
      <c r="AM54" s="57">
        <v>78.849999999999994</v>
      </c>
      <c r="AN54" s="70">
        <v>150</v>
      </c>
      <c r="AO54" s="57">
        <v>9</v>
      </c>
      <c r="AP54" s="52" t="str">
        <f>IF(AND(J54=0,R54=0,Z54=0,AH54=0),
"No participation in any assessment. Please ensure participation in future evaluations.",
IF(J54=0,
"Online Assessment not attempted. Focus on improving basic skills.",
IF(J54&gt;=67.5,
"Outstanding performance in Online Assessment. ",
IF(J54&gt;=45,
"Good performance in Online Assessment. ",
"Needs improvement in Online Assessment. "))) &amp;
IF(R54=0,
"Personal Interview not attempted. Active engagement is essential.",
IF(R54&gt;=16,
"Outstanding performance in Personal Interview. ",
IF(R54&gt;=10,
"Good performance in Personal Interview. ",
"Needs improvement in Personal Interview. "))) &amp;
IF(Z54=0,
"GD Round not attempted. Active participation is crucial.",
IF(Z54&gt;=16,
"Outstanding performance in GD Round. ",
IF(Z54&gt;=10,
"Good performance in GD Round. ",
"Needs improvement in GD Round. "))) &amp;
IF(AH54=0,
"HR Round not attempted. Engage in the assessment process.",
IF(AH54&gt;=16,
"Outstanding performance in HR Round. ",
IF(AH54&gt;=10,
"Good performance in HR Round. ",
"Needs improvement in HR Round."))))</f>
        <v>Good performance in Online Assessment. Good performance in Personal Interview. Good performance in GD Round. HR Round not attempted. Engage in the assessment process.</v>
      </c>
    </row>
    <row r="55" spans="1:42" ht="15.75" customHeight="1">
      <c r="A55">
        <v>52</v>
      </c>
      <c r="B55" s="39" t="s">
        <v>96</v>
      </c>
      <c r="C55" s="40" t="s">
        <v>97</v>
      </c>
      <c r="D55" s="40">
        <v>9466629674</v>
      </c>
      <c r="E55" s="7" t="s">
        <v>253</v>
      </c>
      <c r="F55" s="6"/>
      <c r="G55" s="6"/>
      <c r="H55" s="7">
        <v>12.85</v>
      </c>
      <c r="I55" s="7">
        <v>34</v>
      </c>
      <c r="J55" s="28">
        <f>SUM(H55:I55)</f>
        <v>46.85</v>
      </c>
      <c r="K55" s="56">
        <v>46.85</v>
      </c>
      <c r="L55" s="28">
        <v>90</v>
      </c>
      <c r="M55" s="28" t="str">
        <f>IF(H55=0,
"Aptitude section not attempted. ",
IF(H55&gt;=33.75,
"Outstanding performance in Aptitude. ",
IF(H55&gt;=22.5,
"Good performance in Aptitude. ",
"Needs improvement in Aptitude. "))) &amp;
IF(I55=0,
" General MBA Questions section not attempted. ",
IF(I55&gt;=33.75,
" Outstanding performance in General MBA Questions. ",
IF(I55&gt;=22.5,
" Good performance in General MBA Questions. ",
" Needs improvement in General MBA Questions. ")))</f>
        <v xml:space="preserve">Needs improvement in Aptitude.  Outstanding performance in General MBA Questions. </v>
      </c>
      <c r="N55" s="11">
        <v>0</v>
      </c>
      <c r="O55" s="11">
        <v>0</v>
      </c>
      <c r="P55" s="11">
        <v>0</v>
      </c>
      <c r="Q55" s="11">
        <v>0</v>
      </c>
      <c r="R55" s="41">
        <f>SUM(N55:Q55)</f>
        <v>0</v>
      </c>
      <c r="S55" s="60" t="s">
        <v>259</v>
      </c>
      <c r="T55" s="41">
        <v>20</v>
      </c>
      <c r="U55" s="45" t="str">
        <f>IF(AND(N55=0,O55=0,P55=0,Q55=0),
"Personal Interview not attempted. Please ensure participation next time.",
IF(N55=0,
"Self Expression not attempted. Focus on articulating thoughts clearly.",
IF(N55&gt;=4,
"Outstanding Self Expression. ",
IF(N55&gt;=2,
"Good Self Expression. ",
"Needs improvement in Self Expression. "))) &amp;
IF(O55=0,
"Domain Knowledge not attempted. Focus on relevant topics.",
IF(O55&gt;=4,
"Outstanding performance in Domain Knowledge. ",
IF(O55&gt;=2,
"Good performance in Domain Knowledge. ",
"Needs improvement in Domain Knowledge. "))) &amp;
IF(P55=0,
"Thought Process not attempted. Work on organizing your thoughts.",
IF(P55&gt;=4,
"Outstanding Thought Process. ",
IF(P55&gt;=2,
"Good Thought Process. ",
"Needs improvement in Thought Process. "))) &amp;
IF(Q55=0,
"Problem Solving Skills not attempted. Focus on practice.",
IF(Q55&gt;=4,
"Outstanding Problem Solving Skills. ",
IF(Q55&gt;=2,
"Good Problem Solving Skills. ",
"Needs improvement in Problem Solving Skills. "))))</f>
        <v>Personal Interview not attempted. Please ensure participation next time.</v>
      </c>
      <c r="V55" s="43">
        <v>4</v>
      </c>
      <c r="W55" s="11">
        <v>3</v>
      </c>
      <c r="X55" s="3">
        <v>4</v>
      </c>
      <c r="Y55" s="88">
        <v>4</v>
      </c>
      <c r="Z55" s="3">
        <f>SUM(V55:Y55)</f>
        <v>15</v>
      </c>
      <c r="AA55" s="57">
        <v>15</v>
      </c>
      <c r="AB55" s="69">
        <v>20</v>
      </c>
      <c r="AC55" s="7" t="str">
        <f>IF(AND(V55=0,W55=0,X55=0,Y55=0),
"GD Round not attempted. Active participation is crucial.",
IF(V55=0,
"Participation not attempted. Engage more in discussions.",
IF(V55&gt;=4,
"Outstanding Participation. ",
IF(V55&gt;=2,
"Good Participation. ",
"Needs improvement in Participation. "))) &amp;
IF(W55=0,
"Communication not attempted. Focus on expressing ideas clearly.",
IF(W55&gt;=4,
"Outstanding Communication. ",
IF(W55&gt;=2,
"Good Communication. ",
"Needs improvement in Communication. "))) &amp;
IF(X55=0,
"Presence of Mind not attempted. Work on staying alert during discussions.",
IF(X55&gt;=4,
"Outstanding Presence of Mind. ",
IF(X55&gt;=2,
"Good Presence of Mind. ",
"Needs improvement in Presence of Mind. "))) &amp;
IF(Y55=0,
"Presentation not attempted. Enhance your presentation skills.",
IF(Y55&gt;=4,
"Outstanding Presentation. ",
IF(Y55&gt;=2,
"Good Presentation. ",
"Needs improvement in Presentation. "))))</f>
        <v xml:space="preserve">Outstanding Participation. Good Communication. Outstanding Presence of Mind. Outstanding Presentation. </v>
      </c>
      <c r="AD55" s="43">
        <v>3</v>
      </c>
      <c r="AE55" s="11">
        <v>5</v>
      </c>
      <c r="AF55" s="11">
        <v>4</v>
      </c>
      <c r="AG55" s="10">
        <v>2</v>
      </c>
      <c r="AH55" s="19">
        <f>SUM(AD55:AG55)</f>
        <v>14</v>
      </c>
      <c r="AI55" s="73">
        <v>14</v>
      </c>
      <c r="AJ55" s="76">
        <v>20</v>
      </c>
      <c r="AK55" s="45" t="str">
        <f>IF(AND(AD55=0,AE55=0,AF55=0,AG55=0),
"HR Round not attempted. It's essential to participate in all assessments.",
IF(AD55=0,
"Values not attempted. Reflect on your core values.",
IF(AD55&gt;=4,
"Outstanding understanding of Values. ",
IF(AD55&gt;=2,
"Good understanding of Values. ",
"Needs improvement in understanding Values. "))) &amp;
IF(AE55=0,
"Career Goal not attempted. Define your career objectives clearly.",
IF(AE55&gt;=4,
"Outstanding clarity in Career Goals. ",
IF(AE55&gt;=2,
"Good clarity in Career Goals. ",
"Needs improvement in defining Career Goals. "))) &amp;
IF(AF55=0,
"Behavior Skills not attempted. Work on interpersonal skills.",
IF(AF55&gt;=4,
"Outstanding Behavior Skills. ",
IF(AF55&gt;=2,
"Good Behavior Skills. ",
"Needs improvement in Behavior Skills. "))) &amp;
IF(AG55=0,
"Role Fitment not attempted. Assess your fit for the role.",
IF(AG55&gt;=4,
"Outstanding Role Fitment. ",
IF(AG55&gt;=2,
"Good Role Fitment. ",
"Needs improvement in Role Fitment. "))))</f>
        <v xml:space="preserve">Good understanding of Values. Outstanding clarity in Career Goals. Outstanding Behavior Skills. Good Role Fitment. </v>
      </c>
      <c r="AL55" s="65">
        <f>SUM(J55,R55,Z55,AH55)</f>
        <v>75.849999999999994</v>
      </c>
      <c r="AM55" s="57">
        <v>75.849999999999994</v>
      </c>
      <c r="AN55" s="70">
        <v>150</v>
      </c>
      <c r="AO55" s="57">
        <v>10</v>
      </c>
      <c r="AP55" s="52" t="str">
        <f>IF(AND(J55=0,R55=0,Z55=0,AH55=0),
"No participation in any assessment. Please ensure participation in future evaluations.",
IF(J55=0,
"Online Assessment not attempted. Focus on improving basic skills.",
IF(J55&gt;=67.5,
"Outstanding performance in Online Assessment. ",
IF(J55&gt;=45,
"Good performance in Online Assessment. ",
"Needs improvement in Online Assessment. "))) &amp;
IF(R55=0,
"Personal Interview not attempted. Active engagement is essential.",
IF(R55&gt;=16,
"Outstanding performance in Personal Interview. ",
IF(R55&gt;=10,
"Good performance in Personal Interview. ",
"Needs improvement in Personal Interview. "))) &amp;
IF(Z55=0,
"GD Round not attempted. Active participation is crucial.",
IF(Z55&gt;=16,
"Outstanding performance in GD Round. ",
IF(Z55&gt;=10,
"Good performance in GD Round. ",
"Needs improvement in GD Round. "))) &amp;
IF(AH55=0,
"HR Round not attempted. Engage in the assessment process.",
IF(AH55&gt;=16,
"Outstanding performance in HR Round. ",
IF(AH55&gt;=10,
"Good performance in HR Round. ",
"Needs improvement in HR Round."))))</f>
        <v xml:space="preserve">Good performance in Online Assessment. Personal Interview not attempted. Active engagement is essential.Good performance in GD Round. Good performance in HR Round. </v>
      </c>
    </row>
    <row r="56" spans="1:42" ht="15.75" customHeight="1">
      <c r="A56">
        <v>53</v>
      </c>
      <c r="B56" s="39" t="s">
        <v>188</v>
      </c>
      <c r="C56" s="40" t="s">
        <v>189</v>
      </c>
      <c r="D56" s="40">
        <v>8580450056</v>
      </c>
      <c r="E56" s="7" t="s">
        <v>253</v>
      </c>
      <c r="F56" s="7"/>
      <c r="G56" s="7"/>
      <c r="H56" s="7">
        <v>10.9</v>
      </c>
      <c r="I56" s="7">
        <v>18</v>
      </c>
      <c r="J56" s="28">
        <f>SUM(H56:I56)</f>
        <v>28.9</v>
      </c>
      <c r="K56" s="56">
        <v>28.9</v>
      </c>
      <c r="L56" s="28">
        <v>90</v>
      </c>
      <c r="M56" s="28" t="str">
        <f>IF(H56=0,
"Aptitude section not attempted. ",
IF(H56&gt;=33.75,
"Outstanding performance in Aptitude. ",
IF(H56&gt;=22.5,
"Good performance in Aptitude. ",
"Needs improvement in Aptitude. "))) &amp;
IF(I56=0,
" General MBA Questions section not attempted. ",
IF(I56&gt;=33.75,
" Outstanding performance in General MBA Questions. ",
IF(I56&gt;=22.5,
" Good performance in General MBA Questions. ",
" Needs improvement in General MBA Questions. ")))</f>
        <v xml:space="preserve">Needs improvement in Aptitude.  Needs improvement in General MBA Questions. </v>
      </c>
      <c r="N56" s="7">
        <v>4</v>
      </c>
      <c r="O56" s="7">
        <v>4</v>
      </c>
      <c r="P56" s="7">
        <v>4</v>
      </c>
      <c r="Q56" s="7">
        <v>4</v>
      </c>
      <c r="R56" s="41">
        <f>SUM(N56:Q56)</f>
        <v>16</v>
      </c>
      <c r="S56" s="60">
        <v>16</v>
      </c>
      <c r="T56" s="41">
        <v>20</v>
      </c>
      <c r="U56" s="45" t="str">
        <f>IF(AND(N56=0,O56=0,P56=0,Q56=0),
"Personal Interview not attempted. Please ensure participation next time.",
IF(N56=0,
"Self Expression not attempted. Focus on articulating thoughts clearly.",
IF(N56&gt;=4,
"Outstanding Self Expression. ",
IF(N56&gt;=2,
"Good Self Expression. ",
"Needs improvement in Self Expression. "))) &amp;
IF(O56=0,
"Domain Knowledge not attempted. Focus on relevant topics.",
IF(O56&gt;=4,
"Outstanding performance in Domain Knowledge. ",
IF(O56&gt;=2,
"Good performance in Domain Knowledge. ",
"Needs improvement in Domain Knowledge. "))) &amp;
IF(P56=0,
"Thought Process not attempted. Work on organizing your thoughts.",
IF(P56&gt;=4,
"Outstanding Thought Process. ",
IF(P56&gt;=2,
"Good Thought Process. ",
"Needs improvement in Thought Process. "))) &amp;
IF(Q56=0,
"Problem Solving Skills not attempted. Focus on practice.",
IF(Q56&gt;=4,
"Outstanding Problem Solving Skills. ",
IF(Q56&gt;=2,
"Good Problem Solving Skills. ",
"Needs improvement in Problem Solving Skills. "))))</f>
        <v xml:space="preserve">Outstanding Self Expression. Outstanding performance in Domain Knowledge. Outstanding Thought Process. Outstanding Problem Solving Skills. </v>
      </c>
      <c r="V56" s="43">
        <v>3</v>
      </c>
      <c r="W56" s="11">
        <v>3</v>
      </c>
      <c r="X56" s="3">
        <v>3</v>
      </c>
      <c r="Y56" s="87">
        <v>3</v>
      </c>
      <c r="Z56" s="3">
        <f>SUM(V56:Y56)</f>
        <v>12</v>
      </c>
      <c r="AA56" s="57">
        <v>12</v>
      </c>
      <c r="AB56" s="69">
        <v>20</v>
      </c>
      <c r="AC56" s="7" t="str">
        <f>IF(AND(V56=0,W56=0,X56=0,Y56=0),
"GD Round not attempted. Active participation is crucial.",
IF(V56=0,
"Participation not attempted. Engage more in discussions.",
IF(V56&gt;=4,
"Outstanding Participation. ",
IF(V56&gt;=2,
"Good Participation. ",
"Needs improvement in Participation. "))) &amp;
IF(W56=0,
"Communication not attempted. Focus on expressing ideas clearly.",
IF(W56&gt;=4,
"Outstanding Communication. ",
IF(W56&gt;=2,
"Good Communication. ",
"Needs improvement in Communication. "))) &amp;
IF(X56=0,
"Presence of Mind not attempted. Work on staying alert during discussions.",
IF(X56&gt;=4,
"Outstanding Presence of Mind. ",
IF(X56&gt;=2,
"Good Presence of Mind. ",
"Needs improvement in Presence of Mind. "))) &amp;
IF(Y56=0,
"Presentation not attempted. Enhance your presentation skills.",
IF(Y56&gt;=4,
"Outstanding Presentation. ",
IF(Y56&gt;=2,
"Good Presentation. ",
"Needs improvement in Presentation. "))))</f>
        <v xml:space="preserve">Good Participation. Good Communication. Good Presence of Mind. Good Presentation. </v>
      </c>
      <c r="AD56" s="46">
        <v>4</v>
      </c>
      <c r="AE56" s="7">
        <v>4</v>
      </c>
      <c r="AF56">
        <v>4</v>
      </c>
      <c r="AG56" s="26">
        <v>4</v>
      </c>
      <c r="AH56" s="19">
        <f>SUM(AD56:AG56)</f>
        <v>16</v>
      </c>
      <c r="AI56" s="73">
        <v>16</v>
      </c>
      <c r="AJ56" s="76">
        <v>20</v>
      </c>
      <c r="AK56" s="45" t="str">
        <f>IF(AND(AD56=0,AE56=0,AF56=0,AG56=0),
"HR Round not attempted. It's essential to participate in all assessments.",
IF(AD56=0,
"Values not attempted. Reflect on your core values.",
IF(AD56&gt;=4,
"Outstanding understanding of Values. ",
IF(AD56&gt;=2,
"Good understanding of Values. ",
"Needs improvement in understanding Values. "))) &amp;
IF(AE56=0,
"Career Goal not attempted. Define your career objectives clearly.",
IF(AE56&gt;=4,
"Outstanding clarity in Career Goals. ",
IF(AE56&gt;=2,
"Good clarity in Career Goals. ",
"Needs improvement in defining Career Goals. "))) &amp;
IF(AF56=0,
"Behavior Skills not attempted. Work on interpersonal skills.",
IF(AF56&gt;=4,
"Outstanding Behavior Skills. ",
IF(AF56&gt;=2,
"Good Behavior Skills. ",
"Needs improvement in Behavior Skills. "))) &amp;
IF(AG56=0,
"Role Fitment not attempted. Assess your fit for the role.",
IF(AG56&gt;=4,
"Outstanding Role Fitment. ",
IF(AG56&gt;=2,
"Good Role Fitment. ",
"Needs improvement in Role Fitment. "))))</f>
        <v xml:space="preserve">Outstanding understanding of Values. Outstanding clarity in Career Goals. Outstanding Behavior Skills. Outstanding Role Fitment. </v>
      </c>
      <c r="AL56" s="65">
        <f>SUM(J56,R56,Z56,AH56)</f>
        <v>72.900000000000006</v>
      </c>
      <c r="AM56" s="57">
        <v>72.900000000000006</v>
      </c>
      <c r="AN56" s="70">
        <v>150</v>
      </c>
      <c r="AO56" s="57">
        <v>12</v>
      </c>
      <c r="AP56" s="52" t="str">
        <f>IF(AND(J56=0,R56=0,Z56=0,AH56=0),
"No participation in any assessment. Please ensure participation in future evaluations.",
IF(J56=0,
"Online Assessment not attempted. Focus on improving basic skills.",
IF(J56&gt;=67.5,
"Outstanding performance in Online Assessment. ",
IF(J56&gt;=45,
"Good performance in Online Assessment. ",
"Needs improvement in Online Assessment. "))) &amp;
IF(R56=0,
"Personal Interview not attempted. Active engagement is essential.",
IF(R56&gt;=16,
"Outstanding performance in Personal Interview. ",
IF(R56&gt;=10,
"Good performance in Personal Interview. ",
"Needs improvement in Personal Interview. "))) &amp;
IF(Z56=0,
"GD Round not attempted. Active participation is crucial.",
IF(Z56&gt;=16,
"Outstanding performance in GD Round. ",
IF(Z56&gt;=10,
"Good performance in GD Round. ",
"Needs improvement in GD Round. "))) &amp;
IF(AH56=0,
"HR Round not attempted. Engage in the assessment process.",
IF(AH56&gt;=16,
"Outstanding performance in HR Round. ",
IF(AH56&gt;=10,
"Good performance in HR Round. ",
"Needs improvement in HR Round."))))</f>
        <v xml:space="preserve">Needs improvement in Online Assessment. Outstanding performance in Personal Interview. Good performance in GD Round. Outstanding performance in HR Round. </v>
      </c>
    </row>
    <row r="57" spans="1:42" ht="15.75" customHeight="1">
      <c r="A57">
        <v>54</v>
      </c>
      <c r="B57" s="39" t="s">
        <v>37</v>
      </c>
      <c r="C57" s="40" t="s">
        <v>38</v>
      </c>
      <c r="D57" s="40">
        <v>7087868000</v>
      </c>
      <c r="E57" s="7" t="s">
        <v>253</v>
      </c>
      <c r="F57" s="4"/>
      <c r="G57" s="4"/>
      <c r="H57" s="7">
        <v>16.100000000000001</v>
      </c>
      <c r="I57" s="7">
        <v>27</v>
      </c>
      <c r="J57" s="28">
        <f>SUM(H57:I57)</f>
        <v>43.1</v>
      </c>
      <c r="K57" s="56">
        <v>43.1</v>
      </c>
      <c r="L57" s="28">
        <v>90</v>
      </c>
      <c r="M57" s="28" t="str">
        <f>IF(H57=0,
"Aptitude section not attempted. ",
IF(H57&gt;=33.75,
"Outstanding performance in Aptitude. ",
IF(H57&gt;=22.5,
"Good performance in Aptitude. ",
"Needs improvement in Aptitude. "))) &amp;
IF(I57=0,
" General MBA Questions section not attempted. ",
IF(I57&gt;=33.75,
" Outstanding performance in General MBA Questions. ",
IF(I57&gt;=22.5,
" Good performance in General MBA Questions. ",
" Needs improvement in General MBA Questions. ")))</f>
        <v xml:space="preserve">Needs improvement in Aptitude.  Good performance in General MBA Questions. </v>
      </c>
      <c r="N57" s="11">
        <v>0</v>
      </c>
      <c r="O57" s="11">
        <v>0</v>
      </c>
      <c r="P57" s="11">
        <v>0</v>
      </c>
      <c r="Q57" s="11">
        <v>0</v>
      </c>
      <c r="R57" s="41">
        <f>SUM(N57:Q57)</f>
        <v>0</v>
      </c>
      <c r="S57" s="60" t="s">
        <v>259</v>
      </c>
      <c r="T57" s="41">
        <v>20</v>
      </c>
      <c r="U57" s="45" t="str">
        <f>IF(AND(N57=0,O57=0,P57=0,Q57=0),
"Personal Interview not attempted. Please ensure participation next time.",
IF(N57=0,
"Self Expression not attempted. Focus on articulating thoughts clearly.",
IF(N57&gt;=4,
"Outstanding Self Expression. ",
IF(N57&gt;=2,
"Good Self Expression. ",
"Needs improvement in Self Expression. "))) &amp;
IF(O57=0,
"Domain Knowledge not attempted. Focus on relevant topics.",
IF(O57&gt;=4,
"Outstanding performance in Domain Knowledge. ",
IF(O57&gt;=2,
"Good performance in Domain Knowledge. ",
"Needs improvement in Domain Knowledge. "))) &amp;
IF(P57=0,
"Thought Process not attempted. Work on organizing your thoughts.",
IF(P57&gt;=4,
"Outstanding Thought Process. ",
IF(P57&gt;=2,
"Good Thought Process. ",
"Needs improvement in Thought Process. "))) &amp;
IF(Q57=0,
"Problem Solving Skills not attempted. Focus on practice.",
IF(Q57&gt;=4,
"Outstanding Problem Solving Skills. ",
IF(Q57&gt;=2,
"Good Problem Solving Skills. ",
"Needs improvement in Problem Solving Skills. "))))</f>
        <v>Personal Interview not attempted. Please ensure participation next time.</v>
      </c>
      <c r="V57" s="43">
        <v>3</v>
      </c>
      <c r="W57" s="11">
        <v>4</v>
      </c>
      <c r="X57" s="3">
        <v>3</v>
      </c>
      <c r="Y57" s="26">
        <v>4</v>
      </c>
      <c r="Z57" s="3">
        <f>SUM(V57:Y57)</f>
        <v>14</v>
      </c>
      <c r="AA57" s="57">
        <v>14</v>
      </c>
      <c r="AB57" s="69">
        <v>20</v>
      </c>
      <c r="AC57" s="7" t="str">
        <f>IF(AND(V57=0,W57=0,X57=0,Y57=0),
"GD Round not attempted. Active participation is crucial.",
IF(V57=0,
"Participation not attempted. Engage more in discussions.",
IF(V57&gt;=4,
"Outstanding Participation. ",
IF(V57&gt;=2,
"Good Participation. ",
"Needs improvement in Participation. "))) &amp;
IF(W57=0,
"Communication not attempted. Focus on expressing ideas clearly.",
IF(W57&gt;=4,
"Outstanding Communication. ",
IF(W57&gt;=2,
"Good Communication. ",
"Needs improvement in Communication. "))) &amp;
IF(X57=0,
"Presence of Mind not attempted. Work on staying alert during discussions.",
IF(X57&gt;=4,
"Outstanding Presence of Mind. ",
IF(X57&gt;=2,
"Good Presence of Mind. ",
"Needs improvement in Presence of Mind. "))) &amp;
IF(Y57=0,
"Presentation not attempted. Enhance your presentation skills.",
IF(Y57&gt;=4,
"Outstanding Presentation. ",
IF(Y57&gt;=2,
"Good Presentation. ",
"Needs improvement in Presentation. "))))</f>
        <v xml:space="preserve">Good Participation. Outstanding Communication. Good Presence of Mind. Outstanding Presentation. </v>
      </c>
      <c r="AD57" s="43">
        <v>3</v>
      </c>
      <c r="AE57" s="11">
        <v>4</v>
      </c>
      <c r="AF57" s="88">
        <v>3</v>
      </c>
      <c r="AG57" s="25">
        <v>4</v>
      </c>
      <c r="AH57" s="19">
        <f>SUM(AD57:AG57)</f>
        <v>14</v>
      </c>
      <c r="AI57" s="73">
        <v>14</v>
      </c>
      <c r="AJ57" s="76">
        <v>20</v>
      </c>
      <c r="AK57" s="45" t="str">
        <f>IF(AND(AD57=0,AE57=0,AF57=0,AG57=0),
"HR Round not attempted. It's essential to participate in all assessments.",
IF(AD57=0,
"Values not attempted. Reflect on your core values.",
IF(AD57&gt;=4,
"Outstanding understanding of Values. ",
IF(AD57&gt;=2,
"Good understanding of Values. ",
"Needs improvement in understanding Values. "))) &amp;
IF(AE57=0,
"Career Goal not attempted. Define your career objectives clearly.",
IF(AE57&gt;=4,
"Outstanding clarity in Career Goals. ",
IF(AE57&gt;=2,
"Good clarity in Career Goals. ",
"Needs improvement in defining Career Goals. "))) &amp;
IF(AF57=0,
"Behavior Skills not attempted. Work on interpersonal skills.",
IF(AF57&gt;=4,
"Outstanding Behavior Skills. ",
IF(AF57&gt;=2,
"Good Behavior Skills. ",
"Needs improvement in Behavior Skills. "))) &amp;
IF(AG57=0,
"Role Fitment not attempted. Assess your fit for the role.",
IF(AG57&gt;=4,
"Outstanding Role Fitment. ",
IF(AG57&gt;=2,
"Good Role Fitment. ",
"Needs improvement in Role Fitment. "))))</f>
        <v xml:space="preserve">Good understanding of Values. Outstanding clarity in Career Goals. Good Behavior Skills. Outstanding Role Fitment. </v>
      </c>
      <c r="AL57" s="65">
        <f>SUM(J57,R57,Z57,AH57)</f>
        <v>71.099999999999994</v>
      </c>
      <c r="AM57" s="57">
        <v>71.099999999999994</v>
      </c>
      <c r="AN57" s="70">
        <v>150</v>
      </c>
      <c r="AO57" s="57">
        <v>14</v>
      </c>
      <c r="AP57" s="52" t="str">
        <f>IF(AND(J57=0,R57=0,Z57=0,AH57=0),
"No participation in any assessment. Please ensure participation in future evaluations.",
IF(J57=0,
"Online Assessment not attempted. Focus on improving basic skills.",
IF(J57&gt;=67.5,
"Outstanding performance in Online Assessment. ",
IF(J57&gt;=45,
"Good performance in Online Assessment. ",
"Needs improvement in Online Assessment. "))) &amp;
IF(R57=0,
"Personal Interview not attempted. Active engagement is essential.",
IF(R57&gt;=16,
"Outstanding performance in Personal Interview. ",
IF(R57&gt;=10,
"Good performance in Personal Interview. ",
"Needs improvement in Personal Interview. "))) &amp;
IF(Z57=0,
"GD Round not attempted. Active participation is crucial.",
IF(Z57&gt;=16,
"Outstanding performance in GD Round. ",
IF(Z57&gt;=10,
"Good performance in GD Round. ",
"Needs improvement in GD Round. "))) &amp;
IF(AH57=0,
"HR Round not attempted. Engage in the assessment process.",
IF(AH57&gt;=16,
"Outstanding performance in HR Round. ",
IF(AH57&gt;=10,
"Good performance in HR Round. ",
"Needs improvement in HR Round."))))</f>
        <v xml:space="preserve">Needs improvement in Online Assessment. Personal Interview not attempted. Active engagement is essential.Good performance in GD Round. Good performance in HR Round. </v>
      </c>
    </row>
    <row r="58" spans="1:42" ht="15.75" customHeight="1">
      <c r="A58">
        <v>55</v>
      </c>
      <c r="B58" s="39" t="s">
        <v>113</v>
      </c>
      <c r="C58" s="40" t="s">
        <v>114</v>
      </c>
      <c r="D58" s="40">
        <v>8295695926</v>
      </c>
      <c r="E58" s="7" t="s">
        <v>253</v>
      </c>
      <c r="F58" s="6"/>
      <c r="G58" s="6"/>
      <c r="H58" s="7">
        <v>11.6</v>
      </c>
      <c r="I58" s="7">
        <v>30</v>
      </c>
      <c r="J58" s="28">
        <f>SUM(H58:I58)</f>
        <v>41.6</v>
      </c>
      <c r="K58" s="56">
        <v>41.6</v>
      </c>
      <c r="L58" s="28">
        <v>90</v>
      </c>
      <c r="M58" s="28" t="str">
        <f>IF(H58=0,
"Aptitude section not attempted. ",
IF(H58&gt;=33.75,
"Outstanding performance in Aptitude. ",
IF(H58&gt;=22.5,
"Good performance in Aptitude. ",
"Needs improvement in Aptitude. "))) &amp;
IF(I58=0,
" General MBA Questions section not attempted. ",
IF(I58&gt;=33.75,
" Outstanding performance in General MBA Questions. ",
IF(I58&gt;=22.5,
" Good performance in General MBA Questions. ",
" Needs improvement in General MBA Questions. ")))</f>
        <v xml:space="preserve">Needs improvement in Aptitude.  Good performance in General MBA Questions. </v>
      </c>
      <c r="N58" s="11">
        <v>3</v>
      </c>
      <c r="O58" s="11">
        <v>2</v>
      </c>
      <c r="P58" s="11">
        <v>2</v>
      </c>
      <c r="Q58" s="11">
        <v>2</v>
      </c>
      <c r="R58" s="41">
        <f>SUM(N58:Q58)</f>
        <v>9</v>
      </c>
      <c r="S58" s="60">
        <v>9</v>
      </c>
      <c r="T58" s="41">
        <v>20</v>
      </c>
      <c r="U58" s="45" t="str">
        <f>IF(AND(N58=0,O58=0,P58=0,Q58=0),
"Personal Interview not attempted. Please ensure participation next time.",
IF(N58=0,
"Self Expression not attempted. Focus on articulating thoughts clearly.",
IF(N58&gt;=4,
"Outstanding Self Expression. ",
IF(N58&gt;=2,
"Good Self Expression. ",
"Needs improvement in Self Expression. "))) &amp;
IF(O58=0,
"Domain Knowledge not attempted. Focus on relevant topics.",
IF(O58&gt;=4,
"Outstanding performance in Domain Knowledge. ",
IF(O58&gt;=2,
"Good performance in Domain Knowledge. ",
"Needs improvement in Domain Knowledge. "))) &amp;
IF(P58=0,
"Thought Process not attempted. Work on organizing your thoughts.",
IF(P58&gt;=4,
"Outstanding Thought Process. ",
IF(P58&gt;=2,
"Good Thought Process. ",
"Needs improvement in Thought Process. "))) &amp;
IF(Q58=0,
"Problem Solving Skills not attempted. Focus on practice.",
IF(Q58&gt;=4,
"Outstanding Problem Solving Skills. ",
IF(Q58&gt;=2,
"Good Problem Solving Skills. ",
"Needs improvement in Problem Solving Skills. "))))</f>
        <v xml:space="preserve">Good Self Expression. Good performance in Domain Knowledge. Good Thought Process. Good Problem Solving Skills. </v>
      </c>
      <c r="V58" s="43">
        <v>2</v>
      </c>
      <c r="W58" s="11">
        <v>3</v>
      </c>
      <c r="X58" s="3">
        <v>2</v>
      </c>
      <c r="Y58" s="87">
        <v>3</v>
      </c>
      <c r="Z58" s="3">
        <f>SUM(V58:Y58)</f>
        <v>10</v>
      </c>
      <c r="AA58" s="57">
        <v>10</v>
      </c>
      <c r="AB58" s="69">
        <v>20</v>
      </c>
      <c r="AC58" s="7" t="str">
        <f>IF(AND(V58=0,W58=0,X58=0,Y58=0),
"GD Round not attempted. Active participation is crucial.",
IF(V58=0,
"Participation not attempted. Engage more in discussions.",
IF(V58&gt;=4,
"Outstanding Participation. ",
IF(V58&gt;=2,
"Good Participation. ",
"Needs improvement in Participation. "))) &amp;
IF(W58=0,
"Communication not attempted. Focus on expressing ideas clearly.",
IF(W58&gt;=4,
"Outstanding Communication. ",
IF(W58&gt;=2,
"Good Communication. ",
"Needs improvement in Communication. "))) &amp;
IF(X58=0,
"Presence of Mind not attempted. Work on staying alert during discussions.",
IF(X58&gt;=4,
"Outstanding Presence of Mind. ",
IF(X58&gt;=2,
"Good Presence of Mind. ",
"Needs improvement in Presence of Mind. "))) &amp;
IF(Y58=0,
"Presentation not attempted. Enhance your presentation skills.",
IF(Y58&gt;=4,
"Outstanding Presentation. ",
IF(Y58&gt;=2,
"Good Presentation. ",
"Needs improvement in Presentation. "))))</f>
        <v xml:space="preserve">Good Participation. Good Communication. Good Presence of Mind. Good Presentation. </v>
      </c>
      <c r="AD58" s="43">
        <v>3</v>
      </c>
      <c r="AE58" s="11">
        <v>2</v>
      </c>
      <c r="AF58" s="82">
        <v>3</v>
      </c>
      <c r="AG58" s="5">
        <v>1</v>
      </c>
      <c r="AH58" s="19">
        <f>SUM(AD58:AG58)</f>
        <v>9</v>
      </c>
      <c r="AI58" s="73">
        <v>9</v>
      </c>
      <c r="AJ58" s="76">
        <v>20</v>
      </c>
      <c r="AK58" s="45" t="str">
        <f>IF(AND(AD58=0,AE58=0,AF58=0,AG58=0),
"HR Round not attempted. It's essential to participate in all assessments.",
IF(AD58=0,
"Values not attempted. Reflect on your core values.",
IF(AD58&gt;=4,
"Outstanding understanding of Values. ",
IF(AD58&gt;=2,
"Good understanding of Values. ",
"Needs improvement in understanding Values. "))) &amp;
IF(AE58=0,
"Career Goal not attempted. Define your career objectives clearly.",
IF(AE58&gt;=4,
"Outstanding clarity in Career Goals. ",
IF(AE58&gt;=2,
"Good clarity in Career Goals. ",
"Needs improvement in defining Career Goals. "))) &amp;
IF(AF58=0,
"Behavior Skills not attempted. Work on interpersonal skills.",
IF(AF58&gt;=4,
"Outstanding Behavior Skills. ",
IF(AF58&gt;=2,
"Good Behavior Skills. ",
"Needs improvement in Behavior Skills. "))) &amp;
IF(AG58=0,
"Role Fitment not attempted. Assess your fit for the role.",
IF(AG58&gt;=4,
"Outstanding Role Fitment. ",
IF(AG58&gt;=2,
"Good Role Fitment. ",
"Needs improvement in Role Fitment. "))))</f>
        <v xml:space="preserve">Good understanding of Values. Good clarity in Career Goals. Good Behavior Skills. Needs improvement in Role Fitment. </v>
      </c>
      <c r="AL58" s="65">
        <f>SUM(J58,R58,Z58,AH58)</f>
        <v>69.599999999999994</v>
      </c>
      <c r="AM58" s="57">
        <v>69.599999999999994</v>
      </c>
      <c r="AN58" s="70">
        <v>150</v>
      </c>
      <c r="AO58" s="57">
        <v>18</v>
      </c>
      <c r="AP58" s="52" t="str">
        <f>IF(AND(J58=0,R58=0,Z58=0,AH58=0),
"No participation in any assessment. Please ensure participation in future evaluations.",
IF(J58=0,
"Online Assessment not attempted. Focus on improving basic skills.",
IF(J58&gt;=67.5,
"Outstanding performance in Online Assessment. ",
IF(J58&gt;=45,
"Good performance in Online Assessment. ",
"Needs improvement in Online Assessment. "))) &amp;
IF(R58=0,
"Personal Interview not attempted. Active engagement is essential.",
IF(R58&gt;=16,
"Outstanding performance in Personal Interview. ",
IF(R58&gt;=10,
"Good performance in Personal Interview. ",
"Needs improvement in Personal Interview. "))) &amp;
IF(Z58=0,
"GD Round not attempted. Active participation is crucial.",
IF(Z58&gt;=16,
"Outstanding performance in GD Round. ",
IF(Z58&gt;=10,
"Good performance in GD Round. ",
"Needs improvement in GD Round. "))) &amp;
IF(AH58=0,
"HR Round not attempted. Engage in the assessment process.",
IF(AH58&gt;=16,
"Outstanding performance in HR Round. ",
IF(AH58&gt;=10,
"Good performance in HR Round. ",
"Needs improvement in HR Round."))))</f>
        <v>Needs improvement in Online Assessment. Needs improvement in Personal Interview. Good performance in GD Round. Needs improvement in HR Round.</v>
      </c>
    </row>
    <row r="59" spans="1:42" ht="15.75" customHeight="1">
      <c r="A59">
        <v>56</v>
      </c>
      <c r="B59" s="39" t="s">
        <v>111</v>
      </c>
      <c r="C59" s="40" t="s">
        <v>112</v>
      </c>
      <c r="D59" s="40">
        <v>6239990692</v>
      </c>
      <c r="E59" s="7" t="s">
        <v>253</v>
      </c>
      <c r="F59" s="6"/>
      <c r="G59" s="6"/>
      <c r="H59" s="7">
        <v>16.600000000000001</v>
      </c>
      <c r="I59" s="7">
        <v>21</v>
      </c>
      <c r="J59" s="28">
        <f>SUM(H59:I59)</f>
        <v>37.6</v>
      </c>
      <c r="K59" s="56">
        <v>37.6</v>
      </c>
      <c r="L59" s="28">
        <v>90</v>
      </c>
      <c r="M59" s="28" t="str">
        <f>IF(H59=0,
"Aptitude section not attempted. ",
IF(H59&gt;=33.75,
"Outstanding performance in Aptitude. ",
IF(H59&gt;=22.5,
"Good performance in Aptitude. ",
"Needs improvement in Aptitude. "))) &amp;
IF(I59=0,
" General MBA Questions section not attempted. ",
IF(I59&gt;=33.75,
" Outstanding performance in General MBA Questions. ",
IF(I59&gt;=22.5,
" Good performance in General MBA Questions. ",
" Needs improvement in General MBA Questions. ")))</f>
        <v xml:space="preserve">Needs improvement in Aptitude.  Needs improvement in General MBA Questions. </v>
      </c>
      <c r="N59" s="11">
        <v>3</v>
      </c>
      <c r="O59" s="11">
        <v>3</v>
      </c>
      <c r="P59" s="11">
        <v>2.5</v>
      </c>
      <c r="Q59" s="11">
        <v>3</v>
      </c>
      <c r="R59" s="41">
        <f>SUM(N59:Q59)</f>
        <v>11.5</v>
      </c>
      <c r="S59" s="60">
        <v>11.5</v>
      </c>
      <c r="T59" s="41">
        <v>20</v>
      </c>
      <c r="U59" s="45" t="str">
        <f>IF(AND(N59=0,O59=0,P59=0,Q59=0),
"Personal Interview not attempted. Please ensure participation next time.",
IF(N59=0,
"Self Expression not attempted. Focus on articulating thoughts clearly.",
IF(N59&gt;=4,
"Outstanding Self Expression. ",
IF(N59&gt;=2,
"Good Self Expression. ",
"Needs improvement in Self Expression. "))) &amp;
IF(O59=0,
"Domain Knowledge not attempted. Focus on relevant topics.",
IF(O59&gt;=4,
"Outstanding performance in Domain Knowledge. ",
IF(O59&gt;=2,
"Good performance in Domain Knowledge. ",
"Needs improvement in Domain Knowledge. "))) &amp;
IF(P59=0,
"Thought Process not attempted. Work on organizing your thoughts.",
IF(P59&gt;=4,
"Outstanding Thought Process. ",
IF(P59&gt;=2,
"Good Thought Process. ",
"Needs improvement in Thought Process. "))) &amp;
IF(Q59=0,
"Problem Solving Skills not attempted. Focus on practice.",
IF(Q59&gt;=4,
"Outstanding Problem Solving Skills. ",
IF(Q59&gt;=2,
"Good Problem Solving Skills. ",
"Needs improvement in Problem Solving Skills. "))))</f>
        <v xml:space="preserve">Good Self Expression. Good performance in Domain Knowledge. Good Thought Process. Good Problem Solving Skills. </v>
      </c>
      <c r="V59" s="43">
        <v>2</v>
      </c>
      <c r="W59" s="11">
        <v>2</v>
      </c>
      <c r="X59" s="3">
        <v>2</v>
      </c>
      <c r="Y59">
        <v>2</v>
      </c>
      <c r="Z59" s="3">
        <f>SUM(V59:Y59)</f>
        <v>8</v>
      </c>
      <c r="AA59" s="57">
        <v>8</v>
      </c>
      <c r="AB59" s="69">
        <v>20</v>
      </c>
      <c r="AC59" s="7" t="str">
        <f>IF(AND(V59=0,W59=0,X59=0,Y59=0),
"GD Round not attempted. Active participation is crucial.",
IF(V59=0,
"Participation not attempted. Engage more in discussions.",
IF(V59&gt;=4,
"Outstanding Participation. ",
IF(V59&gt;=2,
"Good Participation. ",
"Needs improvement in Participation. "))) &amp;
IF(W59=0,
"Communication not attempted. Focus on expressing ideas clearly.",
IF(W59&gt;=4,
"Outstanding Communication. ",
IF(W59&gt;=2,
"Good Communication. ",
"Needs improvement in Communication. "))) &amp;
IF(X59=0,
"Presence of Mind not attempted. Work on staying alert during discussions.",
IF(X59&gt;=4,
"Outstanding Presence of Mind. ",
IF(X59&gt;=2,
"Good Presence of Mind. ",
"Needs improvement in Presence of Mind. "))) &amp;
IF(Y59=0,
"Presentation not attempted. Enhance your presentation skills.",
IF(Y59&gt;=4,
"Outstanding Presentation. ",
IF(Y59&gt;=2,
"Good Presentation. ",
"Needs improvement in Presentation. "))))</f>
        <v xml:space="preserve">Good Participation. Good Communication. Good Presence of Mind. Good Presentation. </v>
      </c>
      <c r="AD59" s="43">
        <v>3</v>
      </c>
      <c r="AE59" s="11">
        <v>2.5</v>
      </c>
      <c r="AF59" s="18">
        <v>3</v>
      </c>
      <c r="AG59" s="25">
        <v>3</v>
      </c>
      <c r="AH59" s="19">
        <f>SUM(AD59:AG59)</f>
        <v>11.5</v>
      </c>
      <c r="AI59" s="73">
        <v>11.5</v>
      </c>
      <c r="AJ59" s="76">
        <v>20</v>
      </c>
      <c r="AK59" s="45" t="str">
        <f>IF(AND(AD59=0,AE59=0,AF59=0,AG59=0),
"HR Round not attempted. It's essential to participate in all assessments.",
IF(AD59=0,
"Values not attempted. Reflect on your core values.",
IF(AD59&gt;=4,
"Outstanding understanding of Values. ",
IF(AD59&gt;=2,
"Good understanding of Values. ",
"Needs improvement in understanding Values. "))) &amp;
IF(AE59=0,
"Career Goal not attempted. Define your career objectives clearly.",
IF(AE59&gt;=4,
"Outstanding clarity in Career Goals. ",
IF(AE59&gt;=2,
"Good clarity in Career Goals. ",
"Needs improvement in defining Career Goals. "))) &amp;
IF(AF59=0,
"Behavior Skills not attempted. Work on interpersonal skills.",
IF(AF59&gt;=4,
"Outstanding Behavior Skills. ",
IF(AF59&gt;=2,
"Good Behavior Skills. ",
"Needs improvement in Behavior Skills. "))) &amp;
IF(AG59=0,
"Role Fitment not attempted. Assess your fit for the role.",
IF(AG59&gt;=4,
"Outstanding Role Fitment. ",
IF(AG59&gt;=2,
"Good Role Fitment. ",
"Needs improvement in Role Fitment. "))))</f>
        <v xml:space="preserve">Good understanding of Values. Good clarity in Career Goals. Good Behavior Skills. Good Role Fitment. </v>
      </c>
      <c r="AL59" s="65">
        <f>SUM(J59,R59,Z59,AH59)</f>
        <v>68.599999999999994</v>
      </c>
      <c r="AM59" s="57">
        <v>68.599999999999994</v>
      </c>
      <c r="AN59" s="70">
        <v>150</v>
      </c>
      <c r="AO59" s="57">
        <v>19</v>
      </c>
      <c r="AP59" s="52" t="str">
        <f>IF(AND(J59=0,R59=0,Z59=0,AH59=0),
"No participation in any assessment. Please ensure participation in future evaluations.",
IF(J59=0,
"Online Assessment not attempted. Focus on improving basic skills.",
IF(J59&gt;=67.5,
"Outstanding performance in Online Assessment. ",
IF(J59&gt;=45,
"Good performance in Online Assessment. ",
"Needs improvement in Online Assessment. "))) &amp;
IF(R59=0,
"Personal Interview not attempted. Active engagement is essential.",
IF(R59&gt;=16,
"Outstanding performance in Personal Interview. ",
IF(R59&gt;=10,
"Good performance in Personal Interview. ",
"Needs improvement in Personal Interview. "))) &amp;
IF(Z59=0,
"GD Round not attempted. Active participation is crucial.",
IF(Z59&gt;=16,
"Outstanding performance in GD Round. ",
IF(Z59&gt;=10,
"Good performance in GD Round. ",
"Needs improvement in GD Round. "))) &amp;
IF(AH59=0,
"HR Round not attempted. Engage in the assessment process.",
IF(AH59&gt;=16,
"Outstanding performance in HR Round. ",
IF(AH59&gt;=10,
"Good performance in HR Round. ",
"Needs improvement in HR Round."))))</f>
        <v xml:space="preserve">Needs improvement in Online Assessment. Good performance in Personal Interview. Needs improvement in GD Round. Good performance in HR Round. </v>
      </c>
    </row>
    <row r="60" spans="1:42" ht="15.75" customHeight="1">
      <c r="A60">
        <v>57</v>
      </c>
      <c r="B60" s="39" t="s">
        <v>172</v>
      </c>
      <c r="C60" s="40" t="s">
        <v>173</v>
      </c>
      <c r="D60" s="40">
        <v>9805252948</v>
      </c>
      <c r="E60" s="7" t="s">
        <v>253</v>
      </c>
      <c r="F60" s="7"/>
      <c r="G60" s="7"/>
      <c r="H60" s="7">
        <v>13.45</v>
      </c>
      <c r="I60" s="7">
        <v>39</v>
      </c>
      <c r="J60" s="28">
        <f>SUM(H60:I60)</f>
        <v>52.45</v>
      </c>
      <c r="K60" s="56">
        <v>52.45</v>
      </c>
      <c r="L60" s="28">
        <v>90</v>
      </c>
      <c r="M60" s="28" t="str">
        <f>IF(H60=0,
"Aptitude section not attempted. ",
IF(H60&gt;=33.75,
"Outstanding performance in Aptitude. ",
IF(H60&gt;=22.5,
"Good performance in Aptitude. ",
"Needs improvement in Aptitude. "))) &amp;
IF(I60=0,
" General MBA Questions section not attempted. ",
IF(I60&gt;=33.75,
" Outstanding performance in General MBA Questions. ",
IF(I60&gt;=22.5,
" Good performance in General MBA Questions. ",
" Needs improvement in General MBA Questions. ")))</f>
        <v xml:space="preserve">Needs improvement in Aptitude.  Outstanding performance in General MBA Questions. </v>
      </c>
      <c r="N60" s="11">
        <v>0</v>
      </c>
      <c r="O60" s="11">
        <v>0</v>
      </c>
      <c r="P60" s="11">
        <v>0</v>
      </c>
      <c r="Q60" s="11">
        <v>0</v>
      </c>
      <c r="R60" s="41">
        <f>SUM(N60:Q60)</f>
        <v>0</v>
      </c>
      <c r="S60" s="60" t="s">
        <v>259</v>
      </c>
      <c r="T60" s="41">
        <v>20</v>
      </c>
      <c r="U60" s="45" t="str">
        <f>IF(AND(N60=0,O60=0,P60=0,Q60=0),
"Personal Interview not attempted. Please ensure participation next time.",
IF(N60=0,
"Self Expression not attempted. Focus on articulating thoughts clearly.",
IF(N60&gt;=4,
"Outstanding Self Expression. ",
IF(N60&gt;=2,
"Good Self Expression. ",
"Needs improvement in Self Expression. "))) &amp;
IF(O60=0,
"Domain Knowledge not attempted. Focus on relevant topics.",
IF(O60&gt;=4,
"Outstanding performance in Domain Knowledge. ",
IF(O60&gt;=2,
"Good performance in Domain Knowledge. ",
"Needs improvement in Domain Knowledge. "))) &amp;
IF(P60=0,
"Thought Process not attempted. Work on organizing your thoughts.",
IF(P60&gt;=4,
"Outstanding Thought Process. ",
IF(P60&gt;=2,
"Good Thought Process. ",
"Needs improvement in Thought Process. "))) &amp;
IF(Q60=0,
"Problem Solving Skills not attempted. Focus on practice.",
IF(Q60&gt;=4,
"Outstanding Problem Solving Skills. ",
IF(Q60&gt;=2,
"Good Problem Solving Skills. ",
"Needs improvement in Problem Solving Skills. "))))</f>
        <v>Personal Interview not attempted. Please ensure participation next time.</v>
      </c>
      <c r="V60" s="43">
        <v>3</v>
      </c>
      <c r="W60" s="11">
        <v>3</v>
      </c>
      <c r="X60" s="3">
        <v>3</v>
      </c>
      <c r="Y60" s="18">
        <v>3</v>
      </c>
      <c r="Z60" s="3">
        <f>SUM(V60:Y60)</f>
        <v>12</v>
      </c>
      <c r="AA60" s="57">
        <v>12</v>
      </c>
      <c r="AB60" s="69">
        <v>20</v>
      </c>
      <c r="AC60" s="7" t="str">
        <f>IF(AND(V60=0,W60=0,X60=0,Y60=0),
"GD Round not attempted. Active participation is crucial.",
IF(V60=0,
"Participation not attempted. Engage more in discussions.",
IF(V60&gt;=4,
"Outstanding Participation. ",
IF(V60&gt;=2,
"Good Participation. ",
"Needs improvement in Participation. "))) &amp;
IF(W60=0,
"Communication not attempted. Focus on expressing ideas clearly.",
IF(W60&gt;=4,
"Outstanding Communication. ",
IF(W60&gt;=2,
"Good Communication. ",
"Needs improvement in Communication. "))) &amp;
IF(X60=0,
"Presence of Mind not attempted. Work on staying alert during discussions.",
IF(X60&gt;=4,
"Outstanding Presence of Mind. ",
IF(X60&gt;=2,
"Good Presence of Mind. ",
"Needs improvement in Presence of Mind. "))) &amp;
IF(Y60=0,
"Presentation not attempted. Enhance your presentation skills.",
IF(Y60&gt;=4,
"Outstanding Presentation. ",
IF(Y60&gt;=2,
"Good Presentation. ",
"Needs improvement in Presentation. "))))</f>
        <v xml:space="preserve">Good Participation. Good Communication. Good Presence of Mind. Good Presentation. </v>
      </c>
      <c r="AD60" s="46">
        <v>1</v>
      </c>
      <c r="AE60" s="7">
        <v>1</v>
      </c>
      <c r="AF60" s="7">
        <v>1</v>
      </c>
      <c r="AG60" s="5">
        <v>1</v>
      </c>
      <c r="AH60" s="19">
        <f>SUM(AD60:AG60)</f>
        <v>4</v>
      </c>
      <c r="AI60" s="73">
        <v>4</v>
      </c>
      <c r="AJ60" s="76">
        <v>20</v>
      </c>
      <c r="AK60" s="45" t="str">
        <f>IF(AND(AD60=0,AE60=0,AF60=0,AG60=0),
"HR Round not attempted. It's essential to participate in all assessments.",
IF(AD60=0,
"Values not attempted. Reflect on your core values.",
IF(AD60&gt;=4,
"Outstanding understanding of Values. ",
IF(AD60&gt;=2,
"Good understanding of Values. ",
"Needs improvement in understanding Values. "))) &amp;
IF(AE60=0,
"Career Goal not attempted. Define your career objectives clearly.",
IF(AE60&gt;=4,
"Outstanding clarity in Career Goals. ",
IF(AE60&gt;=2,
"Good clarity in Career Goals. ",
"Needs improvement in defining Career Goals. "))) &amp;
IF(AF60=0,
"Behavior Skills not attempted. Work on interpersonal skills.",
IF(AF60&gt;=4,
"Outstanding Behavior Skills. ",
IF(AF60&gt;=2,
"Good Behavior Skills. ",
"Needs improvement in Behavior Skills. "))) &amp;
IF(AG60=0,
"Role Fitment not attempted. Assess your fit for the role.",
IF(AG60&gt;=4,
"Outstanding Role Fitment. ",
IF(AG60&gt;=2,
"Good Role Fitment. ",
"Needs improvement in Role Fitment. "))))</f>
        <v xml:space="preserve">Needs improvement in understanding Values. Needs improvement in defining Career Goals. Needs improvement in Behavior Skills. Needs improvement in Role Fitment. </v>
      </c>
      <c r="AL60" s="65">
        <f>SUM(J60,R60,Z60,AH60)</f>
        <v>68.45</v>
      </c>
      <c r="AM60" s="57">
        <v>68.45</v>
      </c>
      <c r="AN60" s="70">
        <v>150</v>
      </c>
      <c r="AO60" s="57">
        <v>20</v>
      </c>
      <c r="AP60" s="52" t="str">
        <f>IF(AND(J60=0,R60=0,Z60=0,AH60=0),
"No participation in any assessment. Please ensure participation in future evaluations.",
IF(J60=0,
"Online Assessment not attempted. Focus on improving basic skills.",
IF(J60&gt;=67.5,
"Outstanding performance in Online Assessment. ",
IF(J60&gt;=45,
"Good performance in Online Assessment. ",
"Needs improvement in Online Assessment. "))) &amp;
IF(R60=0,
"Personal Interview not attempted. Active engagement is essential.",
IF(R60&gt;=16,
"Outstanding performance in Personal Interview. ",
IF(R60&gt;=10,
"Good performance in Personal Interview. ",
"Needs improvement in Personal Interview. "))) &amp;
IF(Z60=0,
"GD Round not attempted. Active participation is crucial.",
IF(Z60&gt;=16,
"Outstanding performance in GD Round. ",
IF(Z60&gt;=10,
"Good performance in GD Round. ",
"Needs improvement in GD Round. "))) &amp;
IF(AH60=0,
"HR Round not attempted. Engage in the assessment process.",
IF(AH60&gt;=16,
"Outstanding performance in HR Round. ",
IF(AH60&gt;=10,
"Good performance in HR Round. ",
"Needs improvement in HR Round."))))</f>
        <v>Good performance in Online Assessment. Personal Interview not attempted. Active engagement is essential.Good performance in GD Round. Needs improvement in HR Round.</v>
      </c>
    </row>
    <row r="61" spans="1:42" ht="15.75" customHeight="1">
      <c r="A61">
        <v>58</v>
      </c>
      <c r="B61" s="39" t="s">
        <v>92</v>
      </c>
      <c r="C61" s="40" t="s">
        <v>93</v>
      </c>
      <c r="D61" s="40">
        <v>9915100358</v>
      </c>
      <c r="E61" s="7" t="s">
        <v>253</v>
      </c>
      <c r="F61" s="4"/>
      <c r="G61" s="4"/>
      <c r="H61" s="7">
        <v>13.1</v>
      </c>
      <c r="I61" s="7">
        <v>7</v>
      </c>
      <c r="J61" s="28">
        <f>SUM(H61:I61)</f>
        <v>20.100000000000001</v>
      </c>
      <c r="K61" s="56">
        <v>20.100000000000001</v>
      </c>
      <c r="L61" s="28">
        <v>90</v>
      </c>
      <c r="M61" s="28" t="str">
        <f>IF(H61=0,
"Aptitude section not attempted. ",
IF(H61&gt;=33.75,
"Outstanding performance in Aptitude. ",
IF(H61&gt;=22.5,
"Good performance in Aptitude. ",
"Needs improvement in Aptitude. "))) &amp;
IF(I61=0,
" General MBA Questions section not attempted. ",
IF(I61&gt;=33.75,
" Outstanding performance in General MBA Questions. ",
IF(I61&gt;=22.5,
" Good performance in General MBA Questions. ",
" Needs improvement in General MBA Questions. ")))</f>
        <v xml:space="preserve">Needs improvement in Aptitude.  Needs improvement in General MBA Questions. </v>
      </c>
      <c r="N61" s="11">
        <v>5</v>
      </c>
      <c r="O61" s="11">
        <v>3</v>
      </c>
      <c r="P61" s="11">
        <v>5</v>
      </c>
      <c r="Q61" s="11">
        <v>5</v>
      </c>
      <c r="R61" s="41">
        <f>SUM(N61:Q61)</f>
        <v>18</v>
      </c>
      <c r="S61" s="60">
        <v>18</v>
      </c>
      <c r="T61" s="41">
        <v>20</v>
      </c>
      <c r="U61" s="45" t="str">
        <f>IF(AND(N61=0,O61=0,P61=0,Q61=0),
"Personal Interview not attempted. Please ensure participation next time.",
IF(N61=0,
"Self Expression not attempted. Focus on articulating thoughts clearly.",
IF(N61&gt;=4,
"Outstanding Self Expression. ",
IF(N61&gt;=2,
"Good Self Expression. ",
"Needs improvement in Self Expression. "))) &amp;
IF(O61=0,
"Domain Knowledge not attempted. Focus on relevant topics.",
IF(O61&gt;=4,
"Outstanding performance in Domain Knowledge. ",
IF(O61&gt;=2,
"Good performance in Domain Knowledge. ",
"Needs improvement in Domain Knowledge. "))) &amp;
IF(P61=0,
"Thought Process not attempted. Work on organizing your thoughts.",
IF(P61&gt;=4,
"Outstanding Thought Process. ",
IF(P61&gt;=2,
"Good Thought Process. ",
"Needs improvement in Thought Process. "))) &amp;
IF(Q61=0,
"Problem Solving Skills not attempted. Focus on practice.",
IF(Q61&gt;=4,
"Outstanding Problem Solving Skills. ",
IF(Q61&gt;=2,
"Good Problem Solving Skills. ",
"Needs improvement in Problem Solving Skills. "))))</f>
        <v xml:space="preserve">Outstanding Self Expression. Good performance in Domain Knowledge. Outstanding Thought Process. Outstanding Problem Solving Skills. </v>
      </c>
      <c r="V61" s="43">
        <v>3</v>
      </c>
      <c r="W61" s="11">
        <v>3</v>
      </c>
      <c r="X61" s="3">
        <v>3</v>
      </c>
      <c r="Y61">
        <v>3</v>
      </c>
      <c r="Z61" s="3">
        <f>SUM(V61:Y61)</f>
        <v>12</v>
      </c>
      <c r="AA61" s="57">
        <v>12</v>
      </c>
      <c r="AB61" s="69">
        <v>20</v>
      </c>
      <c r="AC61" s="7" t="str">
        <f>IF(AND(V61=0,W61=0,X61=0,Y61=0),
"GD Round not attempted. Active participation is crucial.",
IF(V61=0,
"Participation not attempted. Engage more in discussions.",
IF(V61&gt;=4,
"Outstanding Participation. ",
IF(V61&gt;=2,
"Good Participation. ",
"Needs improvement in Participation. "))) &amp;
IF(W61=0,
"Communication not attempted. Focus on expressing ideas clearly.",
IF(W61&gt;=4,
"Outstanding Communication. ",
IF(W61&gt;=2,
"Good Communication. ",
"Needs improvement in Communication. "))) &amp;
IF(X61=0,
"Presence of Mind not attempted. Work on staying alert during discussions.",
IF(X61&gt;=4,
"Outstanding Presence of Mind. ",
IF(X61&gt;=2,
"Good Presence of Mind. ",
"Needs improvement in Presence of Mind. "))) &amp;
IF(Y61=0,
"Presentation not attempted. Enhance your presentation skills.",
IF(Y61&gt;=4,
"Outstanding Presentation. ",
IF(Y61&gt;=2,
"Good Presentation. ",
"Needs improvement in Presentation. "))))</f>
        <v xml:space="preserve">Good Participation. Good Communication. Good Presence of Mind. Good Presentation. </v>
      </c>
      <c r="AD61" s="43">
        <v>4</v>
      </c>
      <c r="AE61" s="11">
        <v>4</v>
      </c>
      <c r="AF61" s="11">
        <v>5</v>
      </c>
      <c r="AG61" s="10">
        <v>4</v>
      </c>
      <c r="AH61" s="19">
        <f>SUM(AD61:AG61)</f>
        <v>17</v>
      </c>
      <c r="AI61" s="73">
        <v>17</v>
      </c>
      <c r="AJ61" s="76">
        <v>20</v>
      </c>
      <c r="AK61" s="45" t="str">
        <f>IF(AND(AD61=0,AE61=0,AF61=0,AG61=0),
"HR Round not attempted. It's essential to participate in all assessments.",
IF(AD61=0,
"Values not attempted. Reflect on your core values.",
IF(AD61&gt;=4,
"Outstanding understanding of Values. ",
IF(AD61&gt;=2,
"Good understanding of Values. ",
"Needs improvement in understanding Values. "))) &amp;
IF(AE61=0,
"Career Goal not attempted. Define your career objectives clearly.",
IF(AE61&gt;=4,
"Outstanding clarity in Career Goals. ",
IF(AE61&gt;=2,
"Good clarity in Career Goals. ",
"Needs improvement in defining Career Goals. "))) &amp;
IF(AF61=0,
"Behavior Skills not attempted. Work on interpersonal skills.",
IF(AF61&gt;=4,
"Outstanding Behavior Skills. ",
IF(AF61&gt;=2,
"Good Behavior Skills. ",
"Needs improvement in Behavior Skills. "))) &amp;
IF(AG61=0,
"Role Fitment not attempted. Assess your fit for the role.",
IF(AG61&gt;=4,
"Outstanding Role Fitment. ",
IF(AG61&gt;=2,
"Good Role Fitment. ",
"Needs improvement in Role Fitment. "))))</f>
        <v xml:space="preserve">Outstanding understanding of Values. Outstanding clarity in Career Goals. Outstanding Behavior Skills. Outstanding Role Fitment. </v>
      </c>
      <c r="AL61" s="65">
        <f>SUM(J61,R61,Z61,AH61)</f>
        <v>67.099999999999994</v>
      </c>
      <c r="AM61" s="57">
        <v>67.099999999999994</v>
      </c>
      <c r="AN61" s="70">
        <v>150</v>
      </c>
      <c r="AO61" s="57">
        <v>21</v>
      </c>
      <c r="AP61" s="52" t="str">
        <f>IF(AND(J61=0,R61=0,Z61=0,AH61=0),
"No participation in any assessment. Please ensure participation in future evaluations.",
IF(J61=0,
"Online Assessment not attempted. Focus on improving basic skills.",
IF(J61&gt;=67.5,
"Outstanding performance in Online Assessment. ",
IF(J61&gt;=45,
"Good performance in Online Assessment. ",
"Needs improvement in Online Assessment. "))) &amp;
IF(R61=0,
"Personal Interview not attempted. Active engagement is essential.",
IF(R61&gt;=16,
"Outstanding performance in Personal Interview. ",
IF(R61&gt;=10,
"Good performance in Personal Interview. ",
"Needs improvement in Personal Interview. "))) &amp;
IF(Z61=0,
"GD Round not attempted. Active participation is crucial.",
IF(Z61&gt;=16,
"Outstanding performance in GD Round. ",
IF(Z61&gt;=10,
"Good performance in GD Round. ",
"Needs improvement in GD Round. "))) &amp;
IF(AH61=0,
"HR Round not attempted. Engage in the assessment process.",
IF(AH61&gt;=16,
"Outstanding performance in HR Round. ",
IF(AH61&gt;=10,
"Good performance in HR Round. ",
"Needs improvement in HR Round."))))</f>
        <v xml:space="preserve">Needs improvement in Online Assessment. Outstanding performance in Personal Interview. Good performance in GD Round. Outstanding performance in HR Round. </v>
      </c>
    </row>
    <row r="62" spans="1:42" ht="15.75" customHeight="1">
      <c r="A62">
        <v>59</v>
      </c>
      <c r="B62" s="39" t="s">
        <v>115</v>
      </c>
      <c r="C62" s="40" t="s">
        <v>116</v>
      </c>
      <c r="D62" s="40">
        <v>7508406055</v>
      </c>
      <c r="E62" s="7" t="s">
        <v>253</v>
      </c>
      <c r="F62" s="6"/>
      <c r="G62" s="6"/>
      <c r="H62" s="7">
        <v>11.25</v>
      </c>
      <c r="I62" s="7">
        <v>18</v>
      </c>
      <c r="J62" s="28">
        <f>SUM(H62:I62)</f>
        <v>29.25</v>
      </c>
      <c r="K62" s="56">
        <v>29.25</v>
      </c>
      <c r="L62" s="28">
        <v>90</v>
      </c>
      <c r="M62" s="28" t="str">
        <f>IF(H62=0,
"Aptitude section not attempted. ",
IF(H62&gt;=33.75,
"Outstanding performance in Aptitude. ",
IF(H62&gt;=22.5,
"Good performance in Aptitude. ",
"Needs improvement in Aptitude. "))) &amp;
IF(I62=0,
" General MBA Questions section not attempted. ",
IF(I62&gt;=33.75,
" Outstanding performance in General MBA Questions. ",
IF(I62&gt;=22.5,
" Good performance in General MBA Questions. ",
" Needs improvement in General MBA Questions. ")))</f>
        <v xml:space="preserve">Needs improvement in Aptitude.  Needs improvement in General MBA Questions. </v>
      </c>
      <c r="N62" s="11">
        <v>3</v>
      </c>
      <c r="O62" s="11">
        <v>3</v>
      </c>
      <c r="P62" s="11">
        <v>4</v>
      </c>
      <c r="Q62" s="11">
        <v>4</v>
      </c>
      <c r="R62" s="41">
        <f>SUM(N62:Q62)</f>
        <v>14</v>
      </c>
      <c r="S62" s="60">
        <v>14</v>
      </c>
      <c r="T62" s="41">
        <v>20</v>
      </c>
      <c r="U62" s="45" t="str">
        <f>IF(AND(N62=0,O62=0,P62=0,Q62=0),
"Personal Interview not attempted. Please ensure participation next time.",
IF(N62=0,
"Self Expression not attempted. Focus on articulating thoughts clearly.",
IF(N62&gt;=4,
"Outstanding Self Expression. ",
IF(N62&gt;=2,
"Good Self Expression. ",
"Needs improvement in Self Expression. "))) &amp;
IF(O62=0,
"Domain Knowledge not attempted. Focus on relevant topics.",
IF(O62&gt;=4,
"Outstanding performance in Domain Knowledge. ",
IF(O62&gt;=2,
"Good performance in Domain Knowledge. ",
"Needs improvement in Domain Knowledge. "))) &amp;
IF(P62=0,
"Thought Process not attempted. Work on organizing your thoughts.",
IF(P62&gt;=4,
"Outstanding Thought Process. ",
IF(P62&gt;=2,
"Good Thought Process. ",
"Needs improvement in Thought Process. "))) &amp;
IF(Q62=0,
"Problem Solving Skills not attempted. Focus on practice.",
IF(Q62&gt;=4,
"Outstanding Problem Solving Skills. ",
IF(Q62&gt;=2,
"Good Problem Solving Skills. ",
"Needs improvement in Problem Solving Skills. "))))</f>
        <v xml:space="preserve">Good Self Expression. Good performance in Domain Knowledge. Outstanding Thought Process. Outstanding Problem Solving Skills. </v>
      </c>
      <c r="V62" s="43">
        <v>3</v>
      </c>
      <c r="W62" s="11">
        <v>3</v>
      </c>
      <c r="X62" s="3">
        <v>2</v>
      </c>
      <c r="Y62" s="26">
        <v>3</v>
      </c>
      <c r="Z62" s="3">
        <f>SUM(V62:Y62)</f>
        <v>11</v>
      </c>
      <c r="AA62" s="57">
        <v>11</v>
      </c>
      <c r="AB62" s="69">
        <v>20</v>
      </c>
      <c r="AC62" s="7" t="str">
        <f>IF(AND(V62=0,W62=0,X62=0,Y62=0),
"GD Round not attempted. Active participation is crucial.",
IF(V62=0,
"Participation not attempted. Engage more in discussions.",
IF(V62&gt;=4,
"Outstanding Participation. ",
IF(V62&gt;=2,
"Good Participation. ",
"Needs improvement in Participation. "))) &amp;
IF(W62=0,
"Communication not attempted. Focus on expressing ideas clearly.",
IF(W62&gt;=4,
"Outstanding Communication. ",
IF(W62&gt;=2,
"Good Communication. ",
"Needs improvement in Communication. "))) &amp;
IF(X62=0,
"Presence of Mind not attempted. Work on staying alert during discussions.",
IF(X62&gt;=4,
"Outstanding Presence of Mind. ",
IF(X62&gt;=2,
"Good Presence of Mind. ",
"Needs improvement in Presence of Mind. "))) &amp;
IF(Y62=0,
"Presentation not attempted. Enhance your presentation skills.",
IF(Y62&gt;=4,
"Outstanding Presentation. ",
IF(Y62&gt;=2,
"Good Presentation. ",
"Needs improvement in Presentation. "))))</f>
        <v xml:space="preserve">Good Participation. Good Communication. Good Presence of Mind. Good Presentation. </v>
      </c>
      <c r="AD62" s="43">
        <v>3</v>
      </c>
      <c r="AE62" s="11">
        <v>3</v>
      </c>
      <c r="AF62" s="3">
        <v>4</v>
      </c>
      <c r="AG62" s="26">
        <v>2</v>
      </c>
      <c r="AH62" s="19">
        <f>SUM(AD62:AG62)</f>
        <v>12</v>
      </c>
      <c r="AI62" s="73">
        <v>12</v>
      </c>
      <c r="AJ62" s="76">
        <v>20</v>
      </c>
      <c r="AK62" s="45" t="str">
        <f>IF(AND(AD62=0,AE62=0,AF62=0,AG62=0),
"HR Round not attempted. It's essential to participate in all assessments.",
IF(AD62=0,
"Values not attempted. Reflect on your core values.",
IF(AD62&gt;=4,
"Outstanding understanding of Values. ",
IF(AD62&gt;=2,
"Good understanding of Values. ",
"Needs improvement in understanding Values. "))) &amp;
IF(AE62=0,
"Career Goal not attempted. Define your career objectives clearly.",
IF(AE62&gt;=4,
"Outstanding clarity in Career Goals. ",
IF(AE62&gt;=2,
"Good clarity in Career Goals. ",
"Needs improvement in defining Career Goals. "))) &amp;
IF(AF62=0,
"Behavior Skills not attempted. Work on interpersonal skills.",
IF(AF62&gt;=4,
"Outstanding Behavior Skills. ",
IF(AF62&gt;=2,
"Good Behavior Skills. ",
"Needs improvement in Behavior Skills. "))) &amp;
IF(AG62=0,
"Role Fitment not attempted. Assess your fit for the role.",
IF(AG62&gt;=4,
"Outstanding Role Fitment. ",
IF(AG62&gt;=2,
"Good Role Fitment. ",
"Needs improvement in Role Fitment. "))))</f>
        <v xml:space="preserve">Good understanding of Values. Good clarity in Career Goals. Outstanding Behavior Skills. Good Role Fitment. </v>
      </c>
      <c r="AL62" s="65">
        <f>SUM(J62,R62,Z62,AH62)</f>
        <v>66.25</v>
      </c>
      <c r="AM62" s="57">
        <v>66.25</v>
      </c>
      <c r="AN62" s="70">
        <v>150</v>
      </c>
      <c r="AO62" s="57">
        <v>22</v>
      </c>
      <c r="AP62" s="52" t="str">
        <f>IF(AND(J62=0,R62=0,Z62=0,AH62=0),
"No participation in any assessment. Please ensure participation in future evaluations.",
IF(J62=0,
"Online Assessment not attempted. Focus on improving basic skills.",
IF(J62&gt;=67.5,
"Outstanding performance in Online Assessment. ",
IF(J62&gt;=45,
"Good performance in Online Assessment. ",
"Needs improvement in Online Assessment. "))) &amp;
IF(R62=0,
"Personal Interview not attempted. Active engagement is essential.",
IF(R62&gt;=16,
"Outstanding performance in Personal Interview. ",
IF(R62&gt;=10,
"Good performance in Personal Interview. ",
"Needs improvement in Personal Interview. "))) &amp;
IF(Z62=0,
"GD Round not attempted. Active participation is crucial.",
IF(Z62&gt;=16,
"Outstanding performance in GD Round. ",
IF(Z62&gt;=10,
"Good performance in GD Round. ",
"Needs improvement in GD Round. "))) &amp;
IF(AH62=0,
"HR Round not attempted. Engage in the assessment process.",
IF(AH62&gt;=16,
"Outstanding performance in HR Round. ",
IF(AH62&gt;=10,
"Good performance in HR Round. ",
"Needs improvement in HR Round."))))</f>
        <v xml:space="preserve">Needs improvement in Online Assessment. Good performance in Personal Interview. Good performance in GD Round. Good performance in HR Round. </v>
      </c>
    </row>
    <row r="63" spans="1:42" ht="15.75" customHeight="1">
      <c r="A63">
        <v>60</v>
      </c>
      <c r="B63" s="39" t="s">
        <v>73</v>
      </c>
      <c r="C63" s="40" t="s">
        <v>74</v>
      </c>
      <c r="D63" s="40">
        <v>6239593518</v>
      </c>
      <c r="E63" s="7" t="s">
        <v>253</v>
      </c>
      <c r="F63" s="6"/>
      <c r="G63" s="6"/>
      <c r="H63" s="7">
        <v>10.65</v>
      </c>
      <c r="I63" s="7">
        <v>23</v>
      </c>
      <c r="J63" s="28">
        <f>SUM(H63:I63)</f>
        <v>33.65</v>
      </c>
      <c r="K63" s="56">
        <v>33.65</v>
      </c>
      <c r="L63" s="28">
        <v>90</v>
      </c>
      <c r="M63" s="28" t="str">
        <f>IF(H63=0,
"Aptitude section not attempted. ",
IF(H63&gt;=33.75,
"Outstanding performance in Aptitude. ",
IF(H63&gt;=22.5,
"Good performance in Aptitude. ",
"Needs improvement in Aptitude. "))) &amp;
IF(I63=0,
" General MBA Questions section not attempted. ",
IF(I63&gt;=33.75,
" Outstanding performance in General MBA Questions. ",
IF(I63&gt;=22.5,
" Good performance in General MBA Questions. ",
" Needs improvement in General MBA Questions. ")))</f>
        <v xml:space="preserve">Needs improvement in Aptitude.  Good performance in General MBA Questions. </v>
      </c>
      <c r="N63" s="11">
        <v>0</v>
      </c>
      <c r="O63" s="11">
        <v>0</v>
      </c>
      <c r="P63" s="11">
        <v>0</v>
      </c>
      <c r="Q63" s="11">
        <v>0</v>
      </c>
      <c r="R63" s="41">
        <f>SUM(N63:Q63)</f>
        <v>0</v>
      </c>
      <c r="S63" s="60" t="s">
        <v>259</v>
      </c>
      <c r="T63" s="41">
        <v>20</v>
      </c>
      <c r="U63" s="45" t="str">
        <f>IF(AND(N63=0,O63=0,P63=0,Q63=0),
"Personal Interview not attempted. Please ensure participation next time.",
IF(N63=0,
"Self Expression not attempted. Focus on articulating thoughts clearly.",
IF(N63&gt;=4,
"Outstanding Self Expression. ",
IF(N63&gt;=2,
"Good Self Expression. ",
"Needs improvement in Self Expression. "))) &amp;
IF(O63=0,
"Domain Knowledge not attempted. Focus on relevant topics.",
IF(O63&gt;=4,
"Outstanding performance in Domain Knowledge. ",
IF(O63&gt;=2,
"Good performance in Domain Knowledge. ",
"Needs improvement in Domain Knowledge. "))) &amp;
IF(P63=0,
"Thought Process not attempted. Work on organizing your thoughts.",
IF(P63&gt;=4,
"Outstanding Thought Process. ",
IF(P63&gt;=2,
"Good Thought Process. ",
"Needs improvement in Thought Process. "))) &amp;
IF(Q63=0,
"Problem Solving Skills not attempted. Focus on practice.",
IF(Q63&gt;=4,
"Outstanding Problem Solving Skills. ",
IF(Q63&gt;=2,
"Good Problem Solving Skills. ",
"Needs improvement in Problem Solving Skills. "))))</f>
        <v>Personal Interview not attempted. Please ensure participation next time.</v>
      </c>
      <c r="V63" s="43">
        <v>4</v>
      </c>
      <c r="W63" s="11">
        <v>3</v>
      </c>
      <c r="X63" s="3">
        <v>4</v>
      </c>
      <c r="Y63" s="26">
        <v>4</v>
      </c>
      <c r="Z63" s="3">
        <f>SUM(V63:Y63)</f>
        <v>15</v>
      </c>
      <c r="AA63" s="57">
        <v>15</v>
      </c>
      <c r="AB63" s="69">
        <v>20</v>
      </c>
      <c r="AC63" s="7" t="str">
        <f>IF(AND(V63=0,W63=0,X63=0,Y63=0),
"GD Round not attempted. Active participation is crucial.",
IF(V63=0,
"Participation not attempted. Engage more in discussions.",
IF(V63&gt;=4,
"Outstanding Participation. ",
IF(V63&gt;=2,
"Good Participation. ",
"Needs improvement in Participation. "))) &amp;
IF(W63=0,
"Communication not attempted. Focus on expressing ideas clearly.",
IF(W63&gt;=4,
"Outstanding Communication. ",
IF(W63&gt;=2,
"Good Communication. ",
"Needs improvement in Communication. "))) &amp;
IF(X63=0,
"Presence of Mind not attempted. Work on staying alert during discussions.",
IF(X63&gt;=4,
"Outstanding Presence of Mind. ",
IF(X63&gt;=2,
"Good Presence of Mind. ",
"Needs improvement in Presence of Mind. "))) &amp;
IF(Y63=0,
"Presentation not attempted. Enhance your presentation skills.",
IF(Y63&gt;=4,
"Outstanding Presentation. ",
IF(Y63&gt;=2,
"Good Presentation. ",
"Needs improvement in Presentation. "))))</f>
        <v xml:space="preserve">Outstanding Participation. Good Communication. Outstanding Presence of Mind. Outstanding Presentation. </v>
      </c>
      <c r="AD63" s="43">
        <v>4</v>
      </c>
      <c r="AE63" s="11">
        <v>4</v>
      </c>
      <c r="AF63" s="88">
        <v>4</v>
      </c>
      <c r="AG63" s="25">
        <v>4</v>
      </c>
      <c r="AH63" s="19">
        <f>SUM(AD63:AG63)</f>
        <v>16</v>
      </c>
      <c r="AI63" s="73">
        <v>16</v>
      </c>
      <c r="AJ63" s="76">
        <v>20</v>
      </c>
      <c r="AK63" s="45" t="str">
        <f>IF(AND(AD63=0,AE63=0,AF63=0,AG63=0),
"HR Round not attempted. It's essential to participate in all assessments.",
IF(AD63=0,
"Values not attempted. Reflect on your core values.",
IF(AD63&gt;=4,
"Outstanding understanding of Values. ",
IF(AD63&gt;=2,
"Good understanding of Values. ",
"Needs improvement in understanding Values. "))) &amp;
IF(AE63=0,
"Career Goal not attempted. Define your career objectives clearly.",
IF(AE63&gt;=4,
"Outstanding clarity in Career Goals. ",
IF(AE63&gt;=2,
"Good clarity in Career Goals. ",
"Needs improvement in defining Career Goals. "))) &amp;
IF(AF63=0,
"Behavior Skills not attempted. Work on interpersonal skills.",
IF(AF63&gt;=4,
"Outstanding Behavior Skills. ",
IF(AF63&gt;=2,
"Good Behavior Skills. ",
"Needs improvement in Behavior Skills. "))) &amp;
IF(AG63=0,
"Role Fitment not attempted. Assess your fit for the role.",
IF(AG63&gt;=4,
"Outstanding Role Fitment. ",
IF(AG63&gt;=2,
"Good Role Fitment. ",
"Needs improvement in Role Fitment. "))))</f>
        <v xml:space="preserve">Outstanding understanding of Values. Outstanding clarity in Career Goals. Outstanding Behavior Skills. Outstanding Role Fitment. </v>
      </c>
      <c r="AL63" s="65">
        <f>SUM(J63,R63,Z63,AH63)</f>
        <v>64.650000000000006</v>
      </c>
      <c r="AM63" s="57">
        <v>64.650000000000006</v>
      </c>
      <c r="AN63" s="70">
        <v>150</v>
      </c>
      <c r="AO63" s="57">
        <v>24</v>
      </c>
      <c r="AP63" s="52" t="str">
        <f>IF(AND(J63=0,R63=0,Z63=0,AH63=0),
"No participation in any assessment. Please ensure participation in future evaluations.",
IF(J63=0,
"Online Assessment not attempted. Focus on improving basic skills.",
IF(J63&gt;=67.5,
"Outstanding performance in Online Assessment. ",
IF(J63&gt;=45,
"Good performance in Online Assessment. ",
"Needs improvement in Online Assessment. "))) &amp;
IF(R63=0,
"Personal Interview not attempted. Active engagement is essential.",
IF(R63&gt;=16,
"Outstanding performance in Personal Interview. ",
IF(R63&gt;=10,
"Good performance in Personal Interview. ",
"Needs improvement in Personal Interview. "))) &amp;
IF(Z63=0,
"GD Round not attempted. Active participation is crucial.",
IF(Z63&gt;=16,
"Outstanding performance in GD Round. ",
IF(Z63&gt;=10,
"Good performance in GD Round. ",
"Needs improvement in GD Round. "))) &amp;
IF(AH63=0,
"HR Round not attempted. Engage in the assessment process.",
IF(AH63&gt;=16,
"Outstanding performance in HR Round. ",
IF(AH63&gt;=10,
"Good performance in HR Round. ",
"Needs improvement in HR Round."))))</f>
        <v xml:space="preserve">Needs improvement in Online Assessment. Personal Interview not attempted. Active engagement is essential.Good performance in GD Round. Outstanding performance in HR Round. </v>
      </c>
    </row>
    <row r="64" spans="1:42" ht="15.75" customHeight="1">
      <c r="A64">
        <v>61</v>
      </c>
      <c r="B64" s="39" t="s">
        <v>194</v>
      </c>
      <c r="C64" s="40" t="s">
        <v>195</v>
      </c>
      <c r="D64" s="40">
        <v>9992322785</v>
      </c>
      <c r="E64" s="7" t="s">
        <v>253</v>
      </c>
      <c r="F64" s="7"/>
      <c r="G64" s="7"/>
      <c r="H64" s="7">
        <v>7.95</v>
      </c>
      <c r="I64" s="7">
        <v>26</v>
      </c>
      <c r="J64" s="28">
        <f>SUM(H64:I64)</f>
        <v>33.950000000000003</v>
      </c>
      <c r="K64" s="56">
        <v>33.950000000000003</v>
      </c>
      <c r="L64" s="28">
        <v>90</v>
      </c>
      <c r="M64" s="28" t="str">
        <f>IF(H64=0,
"Aptitude section not attempted. ",
IF(H64&gt;=33.75,
"Outstanding performance in Aptitude. ",
IF(H64&gt;=22.5,
"Good performance in Aptitude. ",
"Needs improvement in Aptitude. "))) &amp;
IF(I64=0,
" General MBA Questions section not attempted. ",
IF(I64&gt;=33.75,
" Outstanding performance in General MBA Questions. ",
IF(I64&gt;=22.5,
" Good performance in General MBA Questions. ",
" Needs improvement in General MBA Questions. ")))</f>
        <v xml:space="preserve">Needs improvement in Aptitude.  Good performance in General MBA Questions. </v>
      </c>
      <c r="N64" s="11">
        <v>0</v>
      </c>
      <c r="O64" s="11">
        <v>0</v>
      </c>
      <c r="P64" s="11">
        <v>0</v>
      </c>
      <c r="Q64" s="11">
        <v>0</v>
      </c>
      <c r="R64" s="41">
        <f>SUM(N64:Q64)</f>
        <v>0</v>
      </c>
      <c r="S64" s="60" t="s">
        <v>259</v>
      </c>
      <c r="T64" s="41">
        <v>20</v>
      </c>
      <c r="U64" s="45" t="str">
        <f>IF(AND(N64=0,O64=0,P64=0,Q64=0),
"Personal Interview not attempted. Please ensure participation next time.",
IF(N64=0,
"Self Expression not attempted. Focus on articulating thoughts clearly.",
IF(N64&gt;=4,
"Outstanding Self Expression. ",
IF(N64&gt;=2,
"Good Self Expression. ",
"Needs improvement in Self Expression. "))) &amp;
IF(O64=0,
"Domain Knowledge not attempted. Focus on relevant topics.",
IF(O64&gt;=4,
"Outstanding performance in Domain Knowledge. ",
IF(O64&gt;=2,
"Good performance in Domain Knowledge. ",
"Needs improvement in Domain Knowledge. "))) &amp;
IF(P64=0,
"Thought Process not attempted. Work on organizing your thoughts.",
IF(P64&gt;=4,
"Outstanding Thought Process. ",
IF(P64&gt;=2,
"Good Thought Process. ",
"Needs improvement in Thought Process. "))) &amp;
IF(Q64=0,
"Problem Solving Skills not attempted. Focus on practice.",
IF(Q64&gt;=4,
"Outstanding Problem Solving Skills. ",
IF(Q64&gt;=2,
"Good Problem Solving Skills. ",
"Needs improvement in Problem Solving Skills. "))))</f>
        <v>Personal Interview not attempted. Please ensure participation next time.</v>
      </c>
      <c r="V64" s="43">
        <v>3</v>
      </c>
      <c r="W64" s="11">
        <v>2</v>
      </c>
      <c r="X64" s="3">
        <v>3</v>
      </c>
      <c r="Y64">
        <v>2</v>
      </c>
      <c r="Z64" s="3">
        <f>SUM(V64:Y64)</f>
        <v>10</v>
      </c>
      <c r="AA64" s="57">
        <v>10</v>
      </c>
      <c r="AB64" s="69">
        <v>20</v>
      </c>
      <c r="AC64" s="7" t="str">
        <f>IF(AND(V64=0,W64=0,X64=0,Y64=0),
"GD Round not attempted. Active participation is crucial.",
IF(V64=0,
"Participation not attempted. Engage more in discussions.",
IF(V64&gt;=4,
"Outstanding Participation. ",
IF(V64&gt;=2,
"Good Participation. ",
"Needs improvement in Participation. "))) &amp;
IF(W64=0,
"Communication not attempted. Focus on expressing ideas clearly.",
IF(W64&gt;=4,
"Outstanding Communication. ",
IF(W64&gt;=2,
"Good Communication. ",
"Needs improvement in Communication. "))) &amp;
IF(X64=0,
"Presence of Mind not attempted. Work on staying alert during discussions.",
IF(X64&gt;=4,
"Outstanding Presence of Mind. ",
IF(X64&gt;=2,
"Good Presence of Mind. ",
"Needs improvement in Presence of Mind. "))) &amp;
IF(Y64=0,
"Presentation not attempted. Enhance your presentation skills.",
IF(Y64&gt;=4,
"Outstanding Presentation. ",
IF(Y64&gt;=2,
"Good Presentation. ",
"Needs improvement in Presentation. "))))</f>
        <v xml:space="preserve">Good Participation. Good Communication. Good Presence of Mind. Good Presentation. </v>
      </c>
      <c r="AD64" s="46">
        <v>5</v>
      </c>
      <c r="AE64" s="7">
        <v>5</v>
      </c>
      <c r="AF64">
        <v>5</v>
      </c>
      <c r="AG64" s="26">
        <v>5</v>
      </c>
      <c r="AH64" s="19">
        <f>SUM(AD64:AG64)</f>
        <v>20</v>
      </c>
      <c r="AI64" s="73">
        <v>20</v>
      </c>
      <c r="AJ64" s="76">
        <v>20</v>
      </c>
      <c r="AK64" s="45" t="str">
        <f>IF(AND(AD64=0,AE64=0,AF64=0,AG64=0),
"HR Round not attempted. It's essential to participate in all assessments.",
IF(AD64=0,
"Values not attempted. Reflect on your core values.",
IF(AD64&gt;=4,
"Outstanding understanding of Values. ",
IF(AD64&gt;=2,
"Good understanding of Values. ",
"Needs improvement in understanding Values. "))) &amp;
IF(AE64=0,
"Career Goal not attempted. Define your career objectives clearly.",
IF(AE64&gt;=4,
"Outstanding clarity in Career Goals. ",
IF(AE64&gt;=2,
"Good clarity in Career Goals. ",
"Needs improvement in defining Career Goals. "))) &amp;
IF(AF64=0,
"Behavior Skills not attempted. Work on interpersonal skills.",
IF(AF64&gt;=4,
"Outstanding Behavior Skills. ",
IF(AF64&gt;=2,
"Good Behavior Skills. ",
"Needs improvement in Behavior Skills. "))) &amp;
IF(AG64=0,
"Role Fitment not attempted. Assess your fit for the role.",
IF(AG64&gt;=4,
"Outstanding Role Fitment. ",
IF(AG64&gt;=2,
"Good Role Fitment. ",
"Needs improvement in Role Fitment. "))))</f>
        <v xml:space="preserve">Outstanding understanding of Values. Outstanding clarity in Career Goals. Outstanding Behavior Skills. Outstanding Role Fitment. </v>
      </c>
      <c r="AL64" s="65">
        <f>SUM(J64,R64,Z64,AH64)</f>
        <v>63.95</v>
      </c>
      <c r="AM64" s="57">
        <v>63.95</v>
      </c>
      <c r="AN64" s="70">
        <v>150</v>
      </c>
      <c r="AO64" s="57">
        <v>25</v>
      </c>
      <c r="AP64" s="52" t="str">
        <f>IF(AND(J64=0,R64=0,Z64=0,AH64=0),
"No participation in any assessment. Please ensure participation in future evaluations.",
IF(J64=0,
"Online Assessment not attempted. Focus on improving basic skills.",
IF(J64&gt;=67.5,
"Outstanding performance in Online Assessment. ",
IF(J64&gt;=45,
"Good performance in Online Assessment. ",
"Needs improvement in Online Assessment. "))) &amp;
IF(R64=0,
"Personal Interview not attempted. Active engagement is essential.",
IF(R64&gt;=16,
"Outstanding performance in Personal Interview. ",
IF(R64&gt;=10,
"Good performance in Personal Interview. ",
"Needs improvement in Personal Interview. "))) &amp;
IF(Z64=0,
"GD Round not attempted. Active participation is crucial.",
IF(Z64&gt;=16,
"Outstanding performance in GD Round. ",
IF(Z64&gt;=10,
"Good performance in GD Round. ",
"Needs improvement in GD Round. "))) &amp;
IF(AH64=0,
"HR Round not attempted. Engage in the assessment process.",
IF(AH64&gt;=16,
"Outstanding performance in HR Round. ",
IF(AH64&gt;=10,
"Good performance in HR Round. ",
"Needs improvement in HR Round."))))</f>
        <v xml:space="preserve">Needs improvement in Online Assessment. Personal Interview not attempted. Active engagement is essential.Good performance in GD Round. Outstanding performance in HR Round. </v>
      </c>
    </row>
    <row r="65" spans="1:42" ht="15.75" customHeight="1">
      <c r="A65">
        <v>62</v>
      </c>
      <c r="B65" s="39" t="s">
        <v>35</v>
      </c>
      <c r="C65" s="40" t="s">
        <v>36</v>
      </c>
      <c r="D65" s="40">
        <v>7087057771</v>
      </c>
      <c r="E65" s="7" t="s">
        <v>253</v>
      </c>
      <c r="F65" s="6"/>
      <c r="G65" s="6"/>
      <c r="H65" s="7">
        <v>16.649999999999999</v>
      </c>
      <c r="I65" s="7">
        <v>27</v>
      </c>
      <c r="J65" s="28">
        <f>SUM(H65:I65)</f>
        <v>43.65</v>
      </c>
      <c r="K65" s="56">
        <v>43.65</v>
      </c>
      <c r="L65" s="28">
        <v>90</v>
      </c>
      <c r="M65" s="28" t="str">
        <f>IF(H65=0,
"Aptitude section not attempted. ",
IF(H65&gt;=33.75,
"Outstanding performance in Aptitude. ",
IF(H65&gt;=22.5,
"Good performance in Aptitude. ",
"Needs improvement in Aptitude. "))) &amp;
IF(I65=0,
" General MBA Questions section not attempted. ",
IF(I65&gt;=33.75,
" Outstanding performance in General MBA Questions. ",
IF(I65&gt;=22.5,
" Good performance in General MBA Questions. ",
" Needs improvement in General MBA Questions. ")))</f>
        <v xml:space="preserve">Needs improvement in Aptitude.  Good performance in General MBA Questions. </v>
      </c>
      <c r="N65" s="11">
        <v>2</v>
      </c>
      <c r="O65" s="11">
        <v>2</v>
      </c>
      <c r="P65" s="11">
        <v>2</v>
      </c>
      <c r="Q65" s="11">
        <v>2</v>
      </c>
      <c r="R65" s="41">
        <f>SUM(N65:Q65)</f>
        <v>8</v>
      </c>
      <c r="S65" s="60">
        <v>8</v>
      </c>
      <c r="T65" s="41">
        <v>20</v>
      </c>
      <c r="U65" s="45" t="str">
        <f>IF(AND(N65=0,O65=0,P65=0,Q65=0),
"Personal Interview not attempted. Please ensure participation next time.",
IF(N65=0,
"Self Expression not attempted. Focus on articulating thoughts clearly.",
IF(N65&gt;=4,
"Outstanding Self Expression. ",
IF(N65&gt;=2,
"Good Self Expression. ",
"Needs improvement in Self Expression. "))) &amp;
IF(O65=0,
"Domain Knowledge not attempted. Focus on relevant topics.",
IF(O65&gt;=4,
"Outstanding performance in Domain Knowledge. ",
IF(O65&gt;=2,
"Good performance in Domain Knowledge. ",
"Needs improvement in Domain Knowledge. "))) &amp;
IF(P65=0,
"Thought Process not attempted. Work on organizing your thoughts.",
IF(P65&gt;=4,
"Outstanding Thought Process. ",
IF(P65&gt;=2,
"Good Thought Process. ",
"Needs improvement in Thought Process. "))) &amp;
IF(Q65=0,
"Problem Solving Skills not attempted. Focus on practice.",
IF(Q65&gt;=4,
"Outstanding Problem Solving Skills. ",
IF(Q65&gt;=2,
"Good Problem Solving Skills. ",
"Needs improvement in Problem Solving Skills. "))))</f>
        <v xml:space="preserve">Good Self Expression. Good performance in Domain Knowledge. Good Thought Process. Good Problem Solving Skills. </v>
      </c>
      <c r="V65" s="43">
        <v>4</v>
      </c>
      <c r="W65" s="11">
        <v>3</v>
      </c>
      <c r="X65" s="3">
        <v>2</v>
      </c>
      <c r="Y65" s="25">
        <v>2</v>
      </c>
      <c r="Z65" s="3">
        <f>SUM(V65:Y65)</f>
        <v>11</v>
      </c>
      <c r="AA65" s="57">
        <v>11</v>
      </c>
      <c r="AB65" s="69">
        <v>20</v>
      </c>
      <c r="AC65" s="7" t="str">
        <f>IF(AND(V65=0,W65=0,X65=0,Y65=0),
"GD Round not attempted. Active participation is crucial.",
IF(V65=0,
"Participation not attempted. Engage more in discussions.",
IF(V65&gt;=4,
"Outstanding Participation. ",
IF(V65&gt;=2,
"Good Participation. ",
"Needs improvement in Participation. "))) &amp;
IF(W65=0,
"Communication not attempted. Focus on expressing ideas clearly.",
IF(W65&gt;=4,
"Outstanding Communication. ",
IF(W65&gt;=2,
"Good Communication. ",
"Needs improvement in Communication. "))) &amp;
IF(X65=0,
"Presence of Mind not attempted. Work on staying alert during discussions.",
IF(X65&gt;=4,
"Outstanding Presence of Mind. ",
IF(X65&gt;=2,
"Good Presence of Mind. ",
"Needs improvement in Presence of Mind. "))) &amp;
IF(Y65=0,
"Presentation not attempted. Enhance your presentation skills.",
IF(Y65&gt;=4,
"Outstanding Presentation. ",
IF(Y65&gt;=2,
"Good Presentation. ",
"Needs improvement in Presentation. "))))</f>
        <v xml:space="preserve">Outstanding Participation. Good Communication. Good Presence of Mind. Good Presentation. </v>
      </c>
      <c r="AD65" s="43">
        <v>0</v>
      </c>
      <c r="AE65" s="11">
        <v>0</v>
      </c>
      <c r="AF65" s="3">
        <v>0</v>
      </c>
      <c r="AG65" s="26">
        <v>0</v>
      </c>
      <c r="AH65" s="19">
        <f>SUM(AD65:AG65)</f>
        <v>0</v>
      </c>
      <c r="AI65" s="73" t="s">
        <v>259</v>
      </c>
      <c r="AJ65" s="76">
        <v>20</v>
      </c>
      <c r="AK65" s="45" t="str">
        <f>IF(AND(AD65=0,AE65=0,AF65=0,AG65=0),
"HR Round not attempted. It's essential to participate in all assessments.",
IF(AD65=0,
"Values not attempted. Reflect on your core values.",
IF(AD65&gt;=4,
"Outstanding understanding of Values. ",
IF(AD65&gt;=2,
"Good understanding of Values. ",
"Needs improvement in understanding Values. "))) &amp;
IF(AE65=0,
"Career Goal not attempted. Define your career objectives clearly.",
IF(AE65&gt;=4,
"Outstanding clarity in Career Goals. ",
IF(AE65&gt;=2,
"Good clarity in Career Goals. ",
"Needs improvement in defining Career Goals. "))) &amp;
IF(AF65=0,
"Behavior Skills not attempted. Work on interpersonal skills.",
IF(AF65&gt;=4,
"Outstanding Behavior Skills. ",
IF(AF65&gt;=2,
"Good Behavior Skills. ",
"Needs improvement in Behavior Skills. "))) &amp;
IF(AG65=0,
"Role Fitment not attempted. Assess your fit for the role.",
IF(AG65&gt;=4,
"Outstanding Role Fitment. ",
IF(AG65&gt;=2,
"Good Role Fitment. ",
"Needs improvement in Role Fitment. "))))</f>
        <v>HR Round not attempted. It's essential to participate in all assessments.</v>
      </c>
      <c r="AL65" s="65">
        <f>SUM(J65,R65,Z65,AH65)</f>
        <v>62.65</v>
      </c>
      <c r="AM65" s="57">
        <v>62.65</v>
      </c>
      <c r="AN65" s="70">
        <v>150</v>
      </c>
      <c r="AO65" s="57">
        <v>28</v>
      </c>
      <c r="AP65" s="52" t="str">
        <f>IF(AND(J65=0,R65=0,Z65=0,AH65=0),
"No participation in any assessment. Please ensure participation in future evaluations.",
IF(J65=0,
"Online Assessment not attempted. Focus on improving basic skills.",
IF(J65&gt;=67.5,
"Outstanding performance in Online Assessment. ",
IF(J65&gt;=45,
"Good performance in Online Assessment. ",
"Needs improvement in Online Assessment. "))) &amp;
IF(R65=0,
"Personal Interview not attempted. Active engagement is essential.",
IF(R65&gt;=16,
"Outstanding performance in Personal Interview. ",
IF(R65&gt;=10,
"Good performance in Personal Interview. ",
"Needs improvement in Personal Interview. "))) &amp;
IF(Z65=0,
"GD Round not attempted. Active participation is crucial.",
IF(Z65&gt;=16,
"Outstanding performance in GD Round. ",
IF(Z65&gt;=10,
"Good performance in GD Round. ",
"Needs improvement in GD Round. "))) &amp;
IF(AH65=0,
"HR Round not attempted. Engage in the assessment process.",
IF(AH65&gt;=16,
"Outstanding performance in HR Round. ",
IF(AH65&gt;=10,
"Good performance in HR Round. ",
"Needs improvement in HR Round."))))</f>
        <v>Needs improvement in Online Assessment. Needs improvement in Personal Interview. Good performance in GD Round. HR Round not attempted. Engage in the assessment process.</v>
      </c>
    </row>
    <row r="66" spans="1:42" ht="15.75" customHeight="1">
      <c r="A66">
        <v>63</v>
      </c>
      <c r="B66" s="39" t="s">
        <v>82</v>
      </c>
      <c r="C66" s="40" t="s">
        <v>83</v>
      </c>
      <c r="D66" s="40">
        <v>7018986382</v>
      </c>
      <c r="E66" s="7" t="s">
        <v>253</v>
      </c>
      <c r="F66" s="4"/>
      <c r="G66" s="4"/>
      <c r="H66" s="7">
        <v>15.65</v>
      </c>
      <c r="I66" s="7">
        <v>19</v>
      </c>
      <c r="J66" s="28">
        <f>SUM(H66:I66)</f>
        <v>34.65</v>
      </c>
      <c r="K66" s="56">
        <v>34.65</v>
      </c>
      <c r="L66" s="28">
        <v>90</v>
      </c>
      <c r="M66" s="28" t="str">
        <f>IF(H66=0,
"Aptitude section not attempted. ",
IF(H66&gt;=33.75,
"Outstanding performance in Aptitude. ",
IF(H66&gt;=22.5,
"Good performance in Aptitude. ",
"Needs improvement in Aptitude. "))) &amp;
IF(I66=0,
" General MBA Questions section not attempted. ",
IF(I66&gt;=33.75,
" Outstanding performance in General MBA Questions. ",
IF(I66&gt;=22.5,
" Good performance in General MBA Questions. ",
" Needs improvement in General MBA Questions. ")))</f>
        <v xml:space="preserve">Needs improvement in Aptitude.  Needs improvement in General MBA Questions. </v>
      </c>
      <c r="N66" s="11">
        <v>2</v>
      </c>
      <c r="O66" s="11">
        <v>2</v>
      </c>
      <c r="P66" s="11">
        <v>3</v>
      </c>
      <c r="Q66" s="11">
        <v>3</v>
      </c>
      <c r="R66" s="41">
        <f>SUM(N66:Q66)</f>
        <v>10</v>
      </c>
      <c r="S66" s="60">
        <v>10</v>
      </c>
      <c r="T66" s="41">
        <v>20</v>
      </c>
      <c r="U66" s="45" t="str">
        <f>IF(AND(N66=0,O66=0,P66=0,Q66=0),
"Personal Interview not attempted. Please ensure participation next time.",
IF(N66=0,
"Self Expression not attempted. Focus on articulating thoughts clearly.",
IF(N66&gt;=4,
"Outstanding Self Expression. ",
IF(N66&gt;=2,
"Good Self Expression. ",
"Needs improvement in Self Expression. "))) &amp;
IF(O66=0,
"Domain Knowledge not attempted. Focus on relevant topics.",
IF(O66&gt;=4,
"Outstanding performance in Domain Knowledge. ",
IF(O66&gt;=2,
"Good performance in Domain Knowledge. ",
"Needs improvement in Domain Knowledge. "))) &amp;
IF(P66=0,
"Thought Process not attempted. Work on organizing your thoughts.",
IF(P66&gt;=4,
"Outstanding Thought Process. ",
IF(P66&gt;=2,
"Good Thought Process. ",
"Needs improvement in Thought Process. "))) &amp;
IF(Q66=0,
"Problem Solving Skills not attempted. Focus on practice.",
IF(Q66&gt;=4,
"Outstanding Problem Solving Skills. ",
IF(Q66&gt;=2,
"Good Problem Solving Skills. ",
"Needs improvement in Problem Solving Skills. "))))</f>
        <v xml:space="preserve">Good Self Expression. Good performance in Domain Knowledge. Good Thought Process. Good Problem Solving Skills. </v>
      </c>
      <c r="V66" s="43">
        <v>2</v>
      </c>
      <c r="W66" s="11">
        <v>2</v>
      </c>
      <c r="X66" s="3">
        <v>2</v>
      </c>
      <c r="Y66" s="26">
        <v>2</v>
      </c>
      <c r="Z66" s="3">
        <f>SUM(V66:Y66)</f>
        <v>8</v>
      </c>
      <c r="AA66" s="57">
        <v>8</v>
      </c>
      <c r="AB66" s="69">
        <v>20</v>
      </c>
      <c r="AC66" s="7" t="str">
        <f>IF(AND(V66=0,W66=0,X66=0,Y66=0),
"GD Round not attempted. Active participation is crucial.",
IF(V66=0,
"Participation not attempted. Engage more in discussions.",
IF(V66&gt;=4,
"Outstanding Participation. ",
IF(V66&gt;=2,
"Good Participation. ",
"Needs improvement in Participation. "))) &amp;
IF(W66=0,
"Communication not attempted. Focus on expressing ideas clearly.",
IF(W66&gt;=4,
"Outstanding Communication. ",
IF(W66&gt;=2,
"Good Communication. ",
"Needs improvement in Communication. "))) &amp;
IF(X66=0,
"Presence of Mind not attempted. Work on staying alert during discussions.",
IF(X66&gt;=4,
"Outstanding Presence of Mind. ",
IF(X66&gt;=2,
"Good Presence of Mind. ",
"Needs improvement in Presence of Mind. "))) &amp;
IF(Y66=0,
"Presentation not attempted. Enhance your presentation skills.",
IF(Y66&gt;=4,
"Outstanding Presentation. ",
IF(Y66&gt;=2,
"Good Presentation. ",
"Needs improvement in Presentation. "))))</f>
        <v xml:space="preserve">Good Participation. Good Communication. Good Presence of Mind. Good Presentation. </v>
      </c>
      <c r="AD66" s="43">
        <v>3</v>
      </c>
      <c r="AE66" s="11">
        <v>1</v>
      </c>
      <c r="AF66" s="88">
        <v>3</v>
      </c>
      <c r="AG66" s="25">
        <v>2</v>
      </c>
      <c r="AH66" s="19">
        <f>SUM(AD66:AG66)</f>
        <v>9</v>
      </c>
      <c r="AI66" s="73">
        <v>9</v>
      </c>
      <c r="AJ66" s="76">
        <v>20</v>
      </c>
      <c r="AK66" s="45" t="str">
        <f>IF(AND(AD66=0,AE66=0,AF66=0,AG66=0),
"HR Round not attempted. It's essential to participate in all assessments.",
IF(AD66=0,
"Values not attempted. Reflect on your core values.",
IF(AD66&gt;=4,
"Outstanding understanding of Values. ",
IF(AD66&gt;=2,
"Good understanding of Values. ",
"Needs improvement in understanding Values. "))) &amp;
IF(AE66=0,
"Career Goal not attempted. Define your career objectives clearly.",
IF(AE66&gt;=4,
"Outstanding clarity in Career Goals. ",
IF(AE66&gt;=2,
"Good clarity in Career Goals. ",
"Needs improvement in defining Career Goals. "))) &amp;
IF(AF66=0,
"Behavior Skills not attempted. Work on interpersonal skills.",
IF(AF66&gt;=4,
"Outstanding Behavior Skills. ",
IF(AF66&gt;=2,
"Good Behavior Skills. ",
"Needs improvement in Behavior Skills. "))) &amp;
IF(AG66=0,
"Role Fitment not attempted. Assess your fit for the role.",
IF(AG66&gt;=4,
"Outstanding Role Fitment. ",
IF(AG66&gt;=2,
"Good Role Fitment. ",
"Needs improvement in Role Fitment. "))))</f>
        <v xml:space="preserve">Good understanding of Values. Needs improvement in defining Career Goals. Good Behavior Skills. Good Role Fitment. </v>
      </c>
      <c r="AL66" s="65">
        <f>SUM(J66,R66,Z66,AH66)</f>
        <v>61.65</v>
      </c>
      <c r="AM66" s="57">
        <v>61.65</v>
      </c>
      <c r="AN66" s="70">
        <v>150</v>
      </c>
      <c r="AO66" s="57">
        <v>30</v>
      </c>
      <c r="AP66" s="52" t="str">
        <f>IF(AND(J66=0,R66=0,Z66=0,AH66=0),
"No participation in any assessment. Please ensure participation in future evaluations.",
IF(J66=0,
"Online Assessment not attempted. Focus on improving basic skills.",
IF(J66&gt;=67.5,
"Outstanding performance in Online Assessment. ",
IF(J66&gt;=45,
"Good performance in Online Assessment. ",
"Needs improvement in Online Assessment. "))) &amp;
IF(R66=0,
"Personal Interview not attempted. Active engagement is essential.",
IF(R66&gt;=16,
"Outstanding performance in Personal Interview. ",
IF(R66&gt;=10,
"Good performance in Personal Interview. ",
"Needs improvement in Personal Interview. "))) &amp;
IF(Z66=0,
"GD Round not attempted. Active participation is crucial.",
IF(Z66&gt;=16,
"Outstanding performance in GD Round. ",
IF(Z66&gt;=10,
"Good performance in GD Round. ",
"Needs improvement in GD Round. "))) &amp;
IF(AH66=0,
"HR Round not attempted. Engage in the assessment process.",
IF(AH66&gt;=16,
"Outstanding performance in HR Round. ",
IF(AH66&gt;=10,
"Good performance in HR Round. ",
"Needs improvement in HR Round."))))</f>
        <v>Needs improvement in Online Assessment. Good performance in Personal Interview. Needs improvement in GD Round. Needs improvement in HR Round.</v>
      </c>
    </row>
    <row r="67" spans="1:42" ht="15.75" customHeight="1">
      <c r="A67">
        <v>64</v>
      </c>
      <c r="B67" s="39" t="s">
        <v>218</v>
      </c>
      <c r="C67" s="40" t="s">
        <v>219</v>
      </c>
      <c r="D67" s="40">
        <v>9216000035</v>
      </c>
      <c r="E67" s="7" t="s">
        <v>253</v>
      </c>
      <c r="F67" s="7"/>
      <c r="G67" s="7"/>
      <c r="H67" s="7">
        <v>12.85</v>
      </c>
      <c r="I67" s="7">
        <v>34</v>
      </c>
      <c r="J67" s="28">
        <f>SUM(H67:I67)</f>
        <v>46.85</v>
      </c>
      <c r="K67" s="56">
        <v>46.85</v>
      </c>
      <c r="L67" s="28">
        <v>90</v>
      </c>
      <c r="M67" s="28" t="str">
        <f>IF(H67=0,
"Aptitude section not attempted. ",
IF(H67&gt;=33.75,
"Outstanding performance in Aptitude. ",
IF(H67&gt;=22.5,
"Good performance in Aptitude. ",
"Needs improvement in Aptitude. "))) &amp;
IF(I67=0,
" General MBA Questions section not attempted. ",
IF(I67&gt;=33.75,
" Outstanding performance in General MBA Questions. ",
IF(I67&gt;=22.5,
" Good performance in General MBA Questions. ",
" Needs improvement in General MBA Questions. ")))</f>
        <v xml:space="preserve">Needs improvement in Aptitude.  Outstanding performance in General MBA Questions. </v>
      </c>
      <c r="N67" s="11">
        <v>0</v>
      </c>
      <c r="O67" s="11">
        <v>0</v>
      </c>
      <c r="P67" s="11">
        <v>0</v>
      </c>
      <c r="Q67" s="11">
        <v>0</v>
      </c>
      <c r="R67" s="41">
        <f>SUM(N67:Q67)</f>
        <v>0</v>
      </c>
      <c r="S67" s="60" t="s">
        <v>259</v>
      </c>
      <c r="T67" s="41">
        <v>20</v>
      </c>
      <c r="U67" s="45" t="str">
        <f>IF(AND(N67=0,O67=0,P67=0,Q67=0),
"Personal Interview not attempted. Please ensure participation next time.",
IF(N67=0,
"Self Expression not attempted. Focus on articulating thoughts clearly.",
IF(N67&gt;=4,
"Outstanding Self Expression. ",
IF(N67&gt;=2,
"Good Self Expression. ",
"Needs improvement in Self Expression. "))) &amp;
IF(O67=0,
"Domain Knowledge not attempted. Focus on relevant topics.",
IF(O67&gt;=4,
"Outstanding performance in Domain Knowledge. ",
IF(O67&gt;=2,
"Good performance in Domain Knowledge. ",
"Needs improvement in Domain Knowledge. "))) &amp;
IF(P67=0,
"Thought Process not attempted. Work on organizing your thoughts.",
IF(P67&gt;=4,
"Outstanding Thought Process. ",
IF(P67&gt;=2,
"Good Thought Process. ",
"Needs improvement in Thought Process. "))) &amp;
IF(Q67=0,
"Problem Solving Skills not attempted. Focus on practice.",
IF(Q67&gt;=4,
"Outstanding Problem Solving Skills. ",
IF(Q67&gt;=2,
"Good Problem Solving Skills. ",
"Needs improvement in Problem Solving Skills. "))))</f>
        <v>Personal Interview not attempted. Please ensure participation next time.</v>
      </c>
      <c r="V67" s="43">
        <v>4</v>
      </c>
      <c r="W67" s="11">
        <v>3</v>
      </c>
      <c r="X67" s="3">
        <v>4</v>
      </c>
      <c r="Y67" s="26">
        <v>3</v>
      </c>
      <c r="Z67" s="3">
        <f>SUM(V67:Y67)</f>
        <v>14</v>
      </c>
      <c r="AA67" s="57">
        <v>14</v>
      </c>
      <c r="AB67" s="69">
        <v>20</v>
      </c>
      <c r="AC67" s="7" t="str">
        <f>IF(AND(V67=0,W67=0,X67=0,Y67=0),
"GD Round not attempted. Active participation is crucial.",
IF(V67=0,
"Participation not attempted. Engage more in discussions.",
IF(V67&gt;=4,
"Outstanding Participation. ",
IF(V67&gt;=2,
"Good Participation. ",
"Needs improvement in Participation. "))) &amp;
IF(W67=0,
"Communication not attempted. Focus on expressing ideas clearly.",
IF(W67&gt;=4,
"Outstanding Communication. ",
IF(W67&gt;=2,
"Good Communication. ",
"Needs improvement in Communication. "))) &amp;
IF(X67=0,
"Presence of Mind not attempted. Work on staying alert during discussions.",
IF(X67&gt;=4,
"Outstanding Presence of Mind. ",
IF(X67&gt;=2,
"Good Presence of Mind. ",
"Needs improvement in Presence of Mind. "))) &amp;
IF(Y67=0,
"Presentation not attempted. Enhance your presentation skills.",
IF(Y67&gt;=4,
"Outstanding Presentation. ",
IF(Y67&gt;=2,
"Good Presentation. ",
"Needs improvement in Presentation. "))))</f>
        <v xml:space="preserve">Outstanding Participation. Good Communication. Outstanding Presence of Mind. Good Presentation. </v>
      </c>
      <c r="AD67" s="43">
        <v>0</v>
      </c>
      <c r="AE67" s="11">
        <v>0</v>
      </c>
      <c r="AF67" s="90">
        <v>0</v>
      </c>
      <c r="AG67" s="26">
        <v>0</v>
      </c>
      <c r="AH67" s="19">
        <f>SUM(AD67:AG67)</f>
        <v>0</v>
      </c>
      <c r="AI67" s="73" t="s">
        <v>259</v>
      </c>
      <c r="AJ67" s="76">
        <v>20</v>
      </c>
      <c r="AK67" s="45" t="str">
        <f>IF(AND(AD67=0,AE67=0,AF67=0,AG67=0),
"HR Round not attempted. It's essential to participate in all assessments.",
IF(AD67=0,
"Values not attempted. Reflect on your core values.",
IF(AD67&gt;=4,
"Outstanding understanding of Values. ",
IF(AD67&gt;=2,
"Good understanding of Values. ",
"Needs improvement in understanding Values. "))) &amp;
IF(AE67=0,
"Career Goal not attempted. Define your career objectives clearly.",
IF(AE67&gt;=4,
"Outstanding clarity in Career Goals. ",
IF(AE67&gt;=2,
"Good clarity in Career Goals. ",
"Needs improvement in defining Career Goals. "))) &amp;
IF(AF67=0,
"Behavior Skills not attempted. Work on interpersonal skills.",
IF(AF67&gt;=4,
"Outstanding Behavior Skills. ",
IF(AF67&gt;=2,
"Good Behavior Skills. ",
"Needs improvement in Behavior Skills. "))) &amp;
IF(AG67=0,
"Role Fitment not attempted. Assess your fit for the role.",
IF(AG67&gt;=4,
"Outstanding Role Fitment. ",
IF(AG67&gt;=2,
"Good Role Fitment. ",
"Needs improvement in Role Fitment. "))))</f>
        <v>HR Round not attempted. It's essential to participate in all assessments.</v>
      </c>
      <c r="AL67" s="65">
        <f>SUM(J67,R67,Z67,AH67)</f>
        <v>60.85</v>
      </c>
      <c r="AM67" s="57">
        <v>60.85</v>
      </c>
      <c r="AN67" s="70">
        <v>150</v>
      </c>
      <c r="AO67" s="57">
        <v>32</v>
      </c>
      <c r="AP67" s="52" t="str">
        <f>IF(AND(J67=0,R67=0,Z67=0,AH67=0),
"No participation in any assessment. Please ensure participation in future evaluations.",
IF(J67=0,
"Online Assessment not attempted. Focus on improving basic skills.",
IF(J67&gt;=67.5,
"Outstanding performance in Online Assessment. ",
IF(J67&gt;=45,
"Good performance in Online Assessment. ",
"Needs improvement in Online Assessment. "))) &amp;
IF(R67=0,
"Personal Interview not attempted. Active engagement is essential.",
IF(R67&gt;=16,
"Outstanding performance in Personal Interview. ",
IF(R67&gt;=10,
"Good performance in Personal Interview. ",
"Needs improvement in Personal Interview. "))) &amp;
IF(Z67=0,
"GD Round not attempted. Active participation is crucial.",
IF(Z67&gt;=16,
"Outstanding performance in GD Round. ",
IF(Z67&gt;=10,
"Good performance in GD Round. ",
"Needs improvement in GD Round. "))) &amp;
IF(AH67=0,
"HR Round not attempted. Engage in the assessment process.",
IF(AH67&gt;=16,
"Outstanding performance in HR Round. ",
IF(AH67&gt;=10,
"Good performance in HR Round. ",
"Needs improvement in HR Round."))))</f>
        <v>Good performance in Online Assessment. Personal Interview not attempted. Active engagement is essential.Good performance in GD Round. HR Round not attempted. Engage in the assessment process.</v>
      </c>
    </row>
    <row r="68" spans="1:42" ht="15.75" customHeight="1">
      <c r="A68">
        <v>65</v>
      </c>
      <c r="B68" s="39" t="s">
        <v>156</v>
      </c>
      <c r="C68" s="40" t="s">
        <v>157</v>
      </c>
      <c r="D68" s="40" t="s">
        <v>158</v>
      </c>
      <c r="E68" s="7" t="s">
        <v>253</v>
      </c>
      <c r="F68" s="7"/>
      <c r="G68" s="7"/>
      <c r="H68" s="7">
        <v>11.5</v>
      </c>
      <c r="I68" s="7">
        <v>24</v>
      </c>
      <c r="J68" s="28">
        <f>SUM(H68:I68)</f>
        <v>35.5</v>
      </c>
      <c r="K68" s="56">
        <v>35.5</v>
      </c>
      <c r="L68" s="28">
        <v>90</v>
      </c>
      <c r="M68" s="28" t="str">
        <f>IF(H68=0,
"Aptitude section not attempted. ",
IF(H68&gt;=33.75,
"Outstanding performance in Aptitude. ",
IF(H68&gt;=22.5,
"Good performance in Aptitude. ",
"Needs improvement in Aptitude. "))) &amp;
IF(I68=0,
" General MBA Questions section not attempted. ",
IF(I68&gt;=33.75,
" Outstanding performance in General MBA Questions. ",
IF(I68&gt;=22.5,
" Good performance in General MBA Questions. ",
" Needs improvement in General MBA Questions. ")))</f>
        <v xml:space="preserve">Needs improvement in Aptitude.  Good performance in General MBA Questions. </v>
      </c>
      <c r="N68" s="11">
        <v>0</v>
      </c>
      <c r="O68" s="11">
        <v>0</v>
      </c>
      <c r="P68" s="11">
        <v>0</v>
      </c>
      <c r="Q68" s="11">
        <v>0</v>
      </c>
      <c r="R68" s="41">
        <f>SUM(N68:Q68)</f>
        <v>0</v>
      </c>
      <c r="S68" s="60" t="s">
        <v>259</v>
      </c>
      <c r="T68" s="41">
        <v>20</v>
      </c>
      <c r="U68" s="45" t="str">
        <f>IF(AND(N68=0,O68=0,P68=0,Q68=0),
"Personal Interview not attempted. Please ensure participation next time.",
IF(N68=0,
"Self Expression not attempted. Focus on articulating thoughts clearly.",
IF(N68&gt;=4,
"Outstanding Self Expression. ",
IF(N68&gt;=2,
"Good Self Expression. ",
"Needs improvement in Self Expression. "))) &amp;
IF(O68=0,
"Domain Knowledge not attempted. Focus on relevant topics.",
IF(O68&gt;=4,
"Outstanding performance in Domain Knowledge. ",
IF(O68&gt;=2,
"Good performance in Domain Knowledge. ",
"Needs improvement in Domain Knowledge. "))) &amp;
IF(P68=0,
"Thought Process not attempted. Work on organizing your thoughts.",
IF(P68&gt;=4,
"Outstanding Thought Process. ",
IF(P68&gt;=2,
"Good Thought Process. ",
"Needs improvement in Thought Process. "))) &amp;
IF(Q68=0,
"Problem Solving Skills not attempted. Focus on practice.",
IF(Q68&gt;=4,
"Outstanding Problem Solving Skills. ",
IF(Q68&gt;=2,
"Good Problem Solving Skills. ",
"Needs improvement in Problem Solving Skills. "))))</f>
        <v>Personal Interview not attempted. Please ensure participation next time.</v>
      </c>
      <c r="V68" s="43">
        <v>2</v>
      </c>
      <c r="W68" s="11">
        <v>2</v>
      </c>
      <c r="X68" s="3">
        <v>2</v>
      </c>
      <c r="Y68" s="26">
        <v>2</v>
      </c>
      <c r="Z68" s="3">
        <f>SUM(V68:Y68)</f>
        <v>8</v>
      </c>
      <c r="AA68" s="57">
        <v>8</v>
      </c>
      <c r="AB68" s="69">
        <v>20</v>
      </c>
      <c r="AC68" s="7" t="str">
        <f>IF(AND(V68=0,W68=0,X68=0,Y68=0),
"GD Round not attempted. Active participation is crucial.",
IF(V68=0,
"Participation not attempted. Engage more in discussions.",
IF(V68&gt;=4,
"Outstanding Participation. ",
IF(V68&gt;=2,
"Good Participation. ",
"Needs improvement in Participation. "))) &amp;
IF(W68=0,
"Communication not attempted. Focus on expressing ideas clearly.",
IF(W68&gt;=4,
"Outstanding Communication. ",
IF(W68&gt;=2,
"Good Communication. ",
"Needs improvement in Communication. "))) &amp;
IF(X68=0,
"Presence of Mind not attempted. Work on staying alert during discussions.",
IF(X68&gt;=4,
"Outstanding Presence of Mind. ",
IF(X68&gt;=2,
"Good Presence of Mind. ",
"Needs improvement in Presence of Mind. "))) &amp;
IF(Y68=0,
"Presentation not attempted. Enhance your presentation skills.",
IF(Y68&gt;=4,
"Outstanding Presentation. ",
IF(Y68&gt;=2,
"Good Presentation. ",
"Needs improvement in Presentation. "))))</f>
        <v xml:space="preserve">Good Participation. Good Communication. Good Presence of Mind. Good Presentation. </v>
      </c>
      <c r="AD68" s="46">
        <v>4</v>
      </c>
      <c r="AE68" s="7">
        <v>5</v>
      </c>
      <c r="AF68" s="87">
        <v>4</v>
      </c>
      <c r="AG68" s="26">
        <v>4</v>
      </c>
      <c r="AH68" s="19">
        <f>SUM(AD68:AG68)</f>
        <v>17</v>
      </c>
      <c r="AI68" s="73">
        <v>17</v>
      </c>
      <c r="AJ68" s="76">
        <v>20</v>
      </c>
      <c r="AK68" s="45" t="str">
        <f>IF(AND(AD68=0,AE68=0,AF68=0,AG68=0),
"HR Round not attempted. It's essential to participate in all assessments.",
IF(AD68=0,
"Values not attempted. Reflect on your core values.",
IF(AD68&gt;=4,
"Outstanding understanding of Values. ",
IF(AD68&gt;=2,
"Good understanding of Values. ",
"Needs improvement in understanding Values. "))) &amp;
IF(AE68=0,
"Career Goal not attempted. Define your career objectives clearly.",
IF(AE68&gt;=4,
"Outstanding clarity in Career Goals. ",
IF(AE68&gt;=2,
"Good clarity in Career Goals. ",
"Needs improvement in defining Career Goals. "))) &amp;
IF(AF68=0,
"Behavior Skills not attempted. Work on interpersonal skills.",
IF(AF68&gt;=4,
"Outstanding Behavior Skills. ",
IF(AF68&gt;=2,
"Good Behavior Skills. ",
"Needs improvement in Behavior Skills. "))) &amp;
IF(AG68=0,
"Role Fitment not attempted. Assess your fit for the role.",
IF(AG68&gt;=4,
"Outstanding Role Fitment. ",
IF(AG68&gt;=2,
"Good Role Fitment. ",
"Needs improvement in Role Fitment. "))))</f>
        <v xml:space="preserve">Outstanding understanding of Values. Outstanding clarity in Career Goals. Outstanding Behavior Skills. Outstanding Role Fitment. </v>
      </c>
      <c r="AL68" s="65">
        <f>SUM(J68,R68,Z68,AH68)</f>
        <v>60.5</v>
      </c>
      <c r="AM68" s="57">
        <v>60.5</v>
      </c>
      <c r="AN68" s="70">
        <v>150</v>
      </c>
      <c r="AO68" s="57">
        <v>35</v>
      </c>
      <c r="AP68" s="52" t="str">
        <f>IF(AND(J68=0,R68=0,Z68=0,AH68=0),
"No participation in any assessment. Please ensure participation in future evaluations.",
IF(J68=0,
"Online Assessment not attempted. Focus on improving basic skills.",
IF(J68&gt;=67.5,
"Outstanding performance in Online Assessment. ",
IF(J68&gt;=45,
"Good performance in Online Assessment. ",
"Needs improvement in Online Assessment. "))) &amp;
IF(R68=0,
"Personal Interview not attempted. Active engagement is essential.",
IF(R68&gt;=16,
"Outstanding performance in Personal Interview. ",
IF(R68&gt;=10,
"Good performance in Personal Interview. ",
"Needs improvement in Personal Interview. "))) &amp;
IF(Z68=0,
"GD Round not attempted. Active participation is crucial.",
IF(Z68&gt;=16,
"Outstanding performance in GD Round. ",
IF(Z68&gt;=10,
"Good performance in GD Round. ",
"Needs improvement in GD Round. "))) &amp;
IF(AH68=0,
"HR Round not attempted. Engage in the assessment process.",
IF(AH68&gt;=16,
"Outstanding performance in HR Round. ",
IF(AH68&gt;=10,
"Good performance in HR Round. ",
"Needs improvement in HR Round."))))</f>
        <v xml:space="preserve">Needs improvement in Online Assessment. Personal Interview not attempted. Active engagement is essential.Needs improvement in GD Round. Outstanding performance in HR Round. </v>
      </c>
    </row>
    <row r="69" spans="1:42" ht="15.75" customHeight="1">
      <c r="A69">
        <v>66</v>
      </c>
      <c r="B69" s="39" t="s">
        <v>130</v>
      </c>
      <c r="C69" s="40" t="s">
        <v>131</v>
      </c>
      <c r="D69" s="40">
        <v>9464224395</v>
      </c>
      <c r="E69" s="7" t="s">
        <v>253</v>
      </c>
      <c r="F69" s="4"/>
      <c r="G69" s="4"/>
      <c r="H69" s="7">
        <v>8.9</v>
      </c>
      <c r="I69" s="7">
        <v>25</v>
      </c>
      <c r="J69" s="28">
        <f>SUM(H69:I69)</f>
        <v>33.9</v>
      </c>
      <c r="K69" s="56">
        <v>33.9</v>
      </c>
      <c r="L69" s="28">
        <v>90</v>
      </c>
      <c r="M69" s="28" t="str">
        <f>IF(H69=0,
"Aptitude section not attempted. ",
IF(H69&gt;=33.75,
"Outstanding performance in Aptitude. ",
IF(H69&gt;=22.5,
"Good performance in Aptitude. ",
"Needs improvement in Aptitude. "))) &amp;
IF(I69=0,
" General MBA Questions section not attempted. ",
IF(I69&gt;=33.75,
" Outstanding performance in General MBA Questions. ",
IF(I69&gt;=22.5,
" Good performance in General MBA Questions. ",
" Needs improvement in General MBA Questions. ")))</f>
        <v xml:space="preserve">Needs improvement in Aptitude.  Good performance in General MBA Questions. </v>
      </c>
      <c r="N69" s="11">
        <v>4</v>
      </c>
      <c r="O69" s="11">
        <v>3</v>
      </c>
      <c r="P69" s="11">
        <v>3</v>
      </c>
      <c r="Q69" s="11">
        <v>4</v>
      </c>
      <c r="R69" s="41">
        <f>SUM(N69:Q69)</f>
        <v>14</v>
      </c>
      <c r="S69" s="60">
        <v>14</v>
      </c>
      <c r="T69" s="41">
        <v>20</v>
      </c>
      <c r="U69" s="45" t="str">
        <f>IF(AND(N69=0,O69=0,P69=0,Q69=0),
"Personal Interview not attempted. Please ensure participation next time.",
IF(N69=0,
"Self Expression not attempted. Focus on articulating thoughts clearly.",
IF(N69&gt;=4,
"Outstanding Self Expression. ",
IF(N69&gt;=2,
"Good Self Expression. ",
"Needs improvement in Self Expression. "))) &amp;
IF(O69=0,
"Domain Knowledge not attempted. Focus on relevant topics.",
IF(O69&gt;=4,
"Outstanding performance in Domain Knowledge. ",
IF(O69&gt;=2,
"Good performance in Domain Knowledge. ",
"Needs improvement in Domain Knowledge. "))) &amp;
IF(P69=0,
"Thought Process not attempted. Work on organizing your thoughts.",
IF(P69&gt;=4,
"Outstanding Thought Process. ",
IF(P69&gt;=2,
"Good Thought Process. ",
"Needs improvement in Thought Process. "))) &amp;
IF(Q69=0,
"Problem Solving Skills not attempted. Focus on practice.",
IF(Q69&gt;=4,
"Outstanding Problem Solving Skills. ",
IF(Q69&gt;=2,
"Good Problem Solving Skills. ",
"Needs improvement in Problem Solving Skills. "))))</f>
        <v xml:space="preserve">Outstanding Self Expression. Good performance in Domain Knowledge. Good Thought Process. Outstanding Problem Solving Skills. </v>
      </c>
      <c r="V69" s="43">
        <v>3</v>
      </c>
      <c r="W69" s="11">
        <v>3</v>
      </c>
      <c r="X69" s="3">
        <v>2</v>
      </c>
      <c r="Y69" s="87">
        <v>3</v>
      </c>
      <c r="Z69" s="3">
        <f>SUM(V69:Y69)</f>
        <v>11</v>
      </c>
      <c r="AA69" s="57">
        <v>11</v>
      </c>
      <c r="AB69" s="69">
        <v>20</v>
      </c>
      <c r="AC69" s="7" t="str">
        <f>IF(AND(V69=0,W69=0,X69=0,Y69=0),
"GD Round not attempted. Active participation is crucial.",
IF(V69=0,
"Participation not attempted. Engage more in discussions.",
IF(V69&gt;=4,
"Outstanding Participation. ",
IF(V69&gt;=2,
"Good Participation. ",
"Needs improvement in Participation. "))) &amp;
IF(W69=0,
"Communication not attempted. Focus on expressing ideas clearly.",
IF(W69&gt;=4,
"Outstanding Communication. ",
IF(W69&gt;=2,
"Good Communication. ",
"Needs improvement in Communication. "))) &amp;
IF(X69=0,
"Presence of Mind not attempted. Work on staying alert during discussions.",
IF(X69&gt;=4,
"Outstanding Presence of Mind. ",
IF(X69&gt;=2,
"Good Presence of Mind. ",
"Needs improvement in Presence of Mind. "))) &amp;
IF(Y69=0,
"Presentation not attempted. Enhance your presentation skills.",
IF(Y69&gt;=4,
"Outstanding Presentation. ",
IF(Y69&gt;=2,
"Good Presentation. ",
"Needs improvement in Presentation. "))))</f>
        <v xml:space="preserve">Good Participation. Good Communication. Good Presence of Mind. Good Presentation. </v>
      </c>
      <c r="AD69" s="43">
        <v>0</v>
      </c>
      <c r="AE69" s="11">
        <v>0</v>
      </c>
      <c r="AF69" s="90">
        <v>0</v>
      </c>
      <c r="AG69" s="26">
        <v>0</v>
      </c>
      <c r="AH69" s="19">
        <f>SUM(AD69:AG69)</f>
        <v>0</v>
      </c>
      <c r="AI69" s="73" t="s">
        <v>259</v>
      </c>
      <c r="AJ69" s="76">
        <v>20</v>
      </c>
      <c r="AK69" s="45" t="str">
        <f>IF(AND(AD69=0,AE69=0,AF69=0,AG69=0),
"HR Round not attempted. It's essential to participate in all assessments.",
IF(AD69=0,
"Values not attempted. Reflect on your core values.",
IF(AD69&gt;=4,
"Outstanding understanding of Values. ",
IF(AD69&gt;=2,
"Good understanding of Values. ",
"Needs improvement in understanding Values. "))) &amp;
IF(AE69=0,
"Career Goal not attempted. Define your career objectives clearly.",
IF(AE69&gt;=4,
"Outstanding clarity in Career Goals. ",
IF(AE69&gt;=2,
"Good clarity in Career Goals. ",
"Needs improvement in defining Career Goals. "))) &amp;
IF(AF69=0,
"Behavior Skills not attempted. Work on interpersonal skills.",
IF(AF69&gt;=4,
"Outstanding Behavior Skills. ",
IF(AF69&gt;=2,
"Good Behavior Skills. ",
"Needs improvement in Behavior Skills. "))) &amp;
IF(AG69=0,
"Role Fitment not attempted. Assess your fit for the role.",
IF(AG69&gt;=4,
"Outstanding Role Fitment. ",
IF(AG69&gt;=2,
"Good Role Fitment. ",
"Needs improvement in Role Fitment. "))))</f>
        <v>HR Round not attempted. It's essential to participate in all assessments.</v>
      </c>
      <c r="AL69" s="65">
        <f>SUM(J69,R69,Z69,AH69)</f>
        <v>58.9</v>
      </c>
      <c r="AM69" s="57">
        <v>58.9</v>
      </c>
      <c r="AN69" s="70">
        <v>150</v>
      </c>
      <c r="AO69" s="57">
        <v>37</v>
      </c>
      <c r="AP69" s="52" t="str">
        <f>IF(AND(J69=0,R69=0,Z69=0,AH69=0),
"No participation in any assessment. Please ensure participation in future evaluations.",
IF(J69=0,
"Online Assessment not attempted. Focus on improving basic skills.",
IF(J69&gt;=67.5,
"Outstanding performance in Online Assessment. ",
IF(J69&gt;=45,
"Good performance in Online Assessment. ",
"Needs improvement in Online Assessment. "))) &amp;
IF(R69=0,
"Personal Interview not attempted. Active engagement is essential.",
IF(R69&gt;=16,
"Outstanding performance in Personal Interview. ",
IF(R69&gt;=10,
"Good performance in Personal Interview. ",
"Needs improvement in Personal Interview. "))) &amp;
IF(Z69=0,
"GD Round not attempted. Active participation is crucial.",
IF(Z69&gt;=16,
"Outstanding performance in GD Round. ",
IF(Z69&gt;=10,
"Good performance in GD Round. ",
"Needs improvement in GD Round. "))) &amp;
IF(AH69=0,
"HR Round not attempted. Engage in the assessment process.",
IF(AH69&gt;=16,
"Outstanding performance in HR Round. ",
IF(AH69&gt;=10,
"Good performance in HR Round. ",
"Needs improvement in HR Round."))))</f>
        <v>Needs improvement in Online Assessment. Good performance in Personal Interview. Good performance in GD Round. HR Round not attempted. Engage in the assessment process.</v>
      </c>
    </row>
    <row r="70" spans="1:42" ht="15.75" customHeight="1">
      <c r="A70">
        <v>67</v>
      </c>
      <c r="B70" s="39" t="s">
        <v>121</v>
      </c>
      <c r="C70" s="7" t="s">
        <v>250</v>
      </c>
      <c r="D70" s="40">
        <v>7876642260</v>
      </c>
      <c r="E70" s="7" t="s">
        <v>253</v>
      </c>
      <c r="F70" s="4"/>
      <c r="G70" s="4"/>
      <c r="H70" s="7">
        <v>16.649999999999999</v>
      </c>
      <c r="I70" s="7">
        <v>26</v>
      </c>
      <c r="J70" s="28">
        <f>SUM(H70:I70)</f>
        <v>42.65</v>
      </c>
      <c r="K70" s="56">
        <v>42.65</v>
      </c>
      <c r="L70" s="28">
        <v>90</v>
      </c>
      <c r="M70" s="28" t="str">
        <f>IF(H70=0,
"Aptitude section not attempted. ",
IF(H70&gt;=33.75,
"Outstanding performance in Aptitude. ",
IF(H70&gt;=22.5,
"Good performance in Aptitude. ",
"Needs improvement in Aptitude. "))) &amp;
IF(I70=0,
" General MBA Questions section not attempted. ",
IF(I70&gt;=33.75,
" Outstanding performance in General MBA Questions. ",
IF(I70&gt;=22.5,
" Good performance in General MBA Questions. ",
" Needs improvement in General MBA Questions. ")))</f>
        <v xml:space="preserve">Needs improvement in Aptitude.  Good performance in General MBA Questions. </v>
      </c>
      <c r="N70" s="11">
        <v>2</v>
      </c>
      <c r="O70" s="11">
        <v>2</v>
      </c>
      <c r="P70" s="11">
        <v>2</v>
      </c>
      <c r="Q70" s="11">
        <v>2</v>
      </c>
      <c r="R70" s="41">
        <f>SUM(N70:Q70)</f>
        <v>8</v>
      </c>
      <c r="S70" s="60">
        <v>8</v>
      </c>
      <c r="T70" s="41">
        <v>20</v>
      </c>
      <c r="U70" s="45" t="str">
        <f>IF(AND(N70=0,O70=0,P70=0,Q70=0),
"Personal Interview not attempted. Please ensure participation next time.",
IF(N70=0,
"Self Expression not attempted. Focus on articulating thoughts clearly.",
IF(N70&gt;=4,
"Outstanding Self Expression. ",
IF(N70&gt;=2,
"Good Self Expression. ",
"Needs improvement in Self Expression. "))) &amp;
IF(O70=0,
"Domain Knowledge not attempted. Focus on relevant topics.",
IF(O70&gt;=4,
"Outstanding performance in Domain Knowledge. ",
IF(O70&gt;=2,
"Good performance in Domain Knowledge. ",
"Needs improvement in Domain Knowledge. "))) &amp;
IF(P70=0,
"Thought Process not attempted. Work on organizing your thoughts.",
IF(P70&gt;=4,
"Outstanding Thought Process. ",
IF(P70&gt;=2,
"Good Thought Process. ",
"Needs improvement in Thought Process. "))) &amp;
IF(Q70=0,
"Problem Solving Skills not attempted. Focus on practice.",
IF(Q70&gt;=4,
"Outstanding Problem Solving Skills. ",
IF(Q70&gt;=2,
"Good Problem Solving Skills. ",
"Needs improvement in Problem Solving Skills. "))))</f>
        <v xml:space="preserve">Good Self Expression. Good performance in Domain Knowledge. Good Thought Process. Good Problem Solving Skills. </v>
      </c>
      <c r="V70" s="43">
        <v>2</v>
      </c>
      <c r="W70" s="11">
        <v>2</v>
      </c>
      <c r="X70" s="3">
        <v>2</v>
      </c>
      <c r="Y70" s="26">
        <v>2</v>
      </c>
      <c r="Z70" s="3">
        <f>SUM(V70:Y70)</f>
        <v>8</v>
      </c>
      <c r="AA70" s="57">
        <v>8</v>
      </c>
      <c r="AB70" s="69">
        <v>20</v>
      </c>
      <c r="AC70" s="7" t="str">
        <f>IF(AND(V70=0,W70=0,X70=0,Y70=0),
"GD Round not attempted. Active participation is crucial.",
IF(V70=0,
"Participation not attempted. Engage more in discussions.",
IF(V70&gt;=4,
"Outstanding Participation. ",
IF(V70&gt;=2,
"Good Participation. ",
"Needs improvement in Participation. "))) &amp;
IF(W70=0,
"Communication not attempted. Focus on expressing ideas clearly.",
IF(W70&gt;=4,
"Outstanding Communication. ",
IF(W70&gt;=2,
"Good Communication. ",
"Needs improvement in Communication. "))) &amp;
IF(X70=0,
"Presence of Mind not attempted. Work on staying alert during discussions.",
IF(X70&gt;=4,
"Outstanding Presence of Mind. ",
IF(X70&gt;=2,
"Good Presence of Mind. ",
"Needs improvement in Presence of Mind. "))) &amp;
IF(Y70=0,
"Presentation not attempted. Enhance your presentation skills.",
IF(Y70&gt;=4,
"Outstanding Presentation. ",
IF(Y70&gt;=2,
"Good Presentation. ",
"Needs improvement in Presentation. "))))</f>
        <v xml:space="preserve">Good Participation. Good Communication. Good Presence of Mind. Good Presentation. </v>
      </c>
      <c r="AD70" s="43">
        <v>0</v>
      </c>
      <c r="AE70" s="11">
        <v>0</v>
      </c>
      <c r="AF70" s="90">
        <v>0</v>
      </c>
      <c r="AG70" s="26">
        <v>0</v>
      </c>
      <c r="AH70" s="19">
        <f>SUM(AD70:AG70)</f>
        <v>0</v>
      </c>
      <c r="AI70" s="73" t="s">
        <v>259</v>
      </c>
      <c r="AJ70" s="76">
        <v>20</v>
      </c>
      <c r="AK70" s="45" t="str">
        <f>IF(AND(AD70=0,AE70=0,AF70=0,AG70=0),
"HR Round not attempted. It's essential to participate in all assessments.",
IF(AD70=0,
"Values not attempted. Reflect on your core values.",
IF(AD70&gt;=4,
"Outstanding understanding of Values. ",
IF(AD70&gt;=2,
"Good understanding of Values. ",
"Needs improvement in understanding Values. "))) &amp;
IF(AE70=0,
"Career Goal not attempted. Define your career objectives clearly.",
IF(AE70&gt;=4,
"Outstanding clarity in Career Goals. ",
IF(AE70&gt;=2,
"Good clarity in Career Goals. ",
"Needs improvement in defining Career Goals. "))) &amp;
IF(AF70=0,
"Behavior Skills not attempted. Work on interpersonal skills.",
IF(AF70&gt;=4,
"Outstanding Behavior Skills. ",
IF(AF70&gt;=2,
"Good Behavior Skills. ",
"Needs improvement in Behavior Skills. "))) &amp;
IF(AG70=0,
"Role Fitment not attempted. Assess your fit for the role.",
IF(AG70&gt;=4,
"Outstanding Role Fitment. ",
IF(AG70&gt;=2,
"Good Role Fitment. ",
"Needs improvement in Role Fitment. "))))</f>
        <v>HR Round not attempted. It's essential to participate in all assessments.</v>
      </c>
      <c r="AL70" s="65">
        <f>SUM(J70,R70,Z70,AH70)</f>
        <v>58.65</v>
      </c>
      <c r="AM70" s="57">
        <v>58.65</v>
      </c>
      <c r="AN70" s="70">
        <v>150</v>
      </c>
      <c r="AO70" s="57">
        <v>38</v>
      </c>
      <c r="AP70" s="52" t="str">
        <f>IF(AND(J70=0,R70=0,Z70=0,AH70=0),
"No participation in any assessment. Please ensure participation in future evaluations.",
IF(J70=0,
"Online Assessment not attempted. Focus on improving basic skills.",
IF(J70&gt;=67.5,
"Outstanding performance in Online Assessment. ",
IF(J70&gt;=45,
"Good performance in Online Assessment. ",
"Needs improvement in Online Assessment. "))) &amp;
IF(R70=0,
"Personal Interview not attempted. Active engagement is essential.",
IF(R70&gt;=16,
"Outstanding performance in Personal Interview. ",
IF(R70&gt;=10,
"Good performance in Personal Interview. ",
"Needs improvement in Personal Interview. "))) &amp;
IF(Z70=0,
"GD Round not attempted. Active participation is crucial.",
IF(Z70&gt;=16,
"Outstanding performance in GD Round. ",
IF(Z70&gt;=10,
"Good performance in GD Round. ",
"Needs improvement in GD Round. "))) &amp;
IF(AH70=0,
"HR Round not attempted. Engage in the assessment process.",
IF(AH70&gt;=16,
"Outstanding performance in HR Round. ",
IF(AH70&gt;=10,
"Good performance in HR Round. ",
"Needs improvement in HR Round."))))</f>
        <v>Needs improvement in Online Assessment. Needs improvement in Personal Interview. Needs improvement in GD Round. HR Round not attempted. Engage in the assessment process.</v>
      </c>
    </row>
    <row r="71" spans="1:42" ht="15.75" customHeight="1">
      <c r="A71">
        <v>68</v>
      </c>
      <c r="B71" s="39" t="s">
        <v>142</v>
      </c>
      <c r="C71" s="40" t="s">
        <v>143</v>
      </c>
      <c r="D71" s="40">
        <v>9596646556</v>
      </c>
      <c r="E71" s="7" t="s">
        <v>253</v>
      </c>
      <c r="F71" s="6"/>
      <c r="G71" s="6"/>
      <c r="H71" s="7">
        <v>11.9</v>
      </c>
      <c r="I71" s="7">
        <v>28</v>
      </c>
      <c r="J71" s="28">
        <f>SUM(H71:I71)</f>
        <v>39.9</v>
      </c>
      <c r="K71" s="56">
        <v>39.9</v>
      </c>
      <c r="L71" s="28">
        <v>90</v>
      </c>
      <c r="M71" s="28" t="str">
        <f>IF(H71=0,
"Aptitude section not attempted. ",
IF(H71&gt;=33.75,
"Outstanding performance in Aptitude. ",
IF(H71&gt;=22.5,
"Good performance in Aptitude. ",
"Needs improvement in Aptitude. "))) &amp;
IF(I71=0,
" General MBA Questions section not attempted. ",
IF(I71&gt;=33.75,
" Outstanding performance in General MBA Questions. ",
IF(I71&gt;=22.5,
" Good performance in General MBA Questions. ",
" Needs improvement in General MBA Questions. ")))</f>
        <v xml:space="preserve">Needs improvement in Aptitude.  Good performance in General MBA Questions. </v>
      </c>
      <c r="N71" s="11">
        <v>0</v>
      </c>
      <c r="O71" s="11">
        <v>0</v>
      </c>
      <c r="P71" s="11">
        <v>0</v>
      </c>
      <c r="Q71" s="11">
        <v>0</v>
      </c>
      <c r="R71" s="41">
        <f>SUM(N71:Q71)</f>
        <v>0</v>
      </c>
      <c r="S71" s="60" t="s">
        <v>259</v>
      </c>
      <c r="T71" s="41">
        <v>20</v>
      </c>
      <c r="U71" s="45" t="str">
        <f>IF(AND(N71=0,O71=0,P71=0,Q71=0),
"Personal Interview not attempted. Please ensure participation next time.",
IF(N71=0,
"Self Expression not attempted. Focus on articulating thoughts clearly.",
IF(N71&gt;=4,
"Outstanding Self Expression. ",
IF(N71&gt;=2,
"Good Self Expression. ",
"Needs improvement in Self Expression. "))) &amp;
IF(O71=0,
"Domain Knowledge not attempted. Focus on relevant topics.",
IF(O71&gt;=4,
"Outstanding performance in Domain Knowledge. ",
IF(O71&gt;=2,
"Good performance in Domain Knowledge. ",
"Needs improvement in Domain Knowledge. "))) &amp;
IF(P71=0,
"Thought Process not attempted. Work on organizing your thoughts.",
IF(P71&gt;=4,
"Outstanding Thought Process. ",
IF(P71&gt;=2,
"Good Thought Process. ",
"Needs improvement in Thought Process. "))) &amp;
IF(Q71=0,
"Problem Solving Skills not attempted. Focus on practice.",
IF(Q71&gt;=4,
"Outstanding Problem Solving Skills. ",
IF(Q71&gt;=2,
"Good Problem Solving Skills. ",
"Needs improvement in Problem Solving Skills. "))))</f>
        <v>Personal Interview not attempted. Please ensure participation next time.</v>
      </c>
      <c r="V71" s="43">
        <v>3</v>
      </c>
      <c r="W71" s="11">
        <v>2</v>
      </c>
      <c r="X71" s="3">
        <v>3</v>
      </c>
      <c r="Y71" s="18">
        <v>2</v>
      </c>
      <c r="Z71" s="3">
        <f>SUM(V71:Y71)</f>
        <v>10</v>
      </c>
      <c r="AA71" s="57">
        <v>10</v>
      </c>
      <c r="AB71" s="69">
        <v>20</v>
      </c>
      <c r="AC71" s="7" t="str">
        <f>IF(AND(V71=0,W71=0,X71=0,Y71=0),
"GD Round not attempted. Active participation is crucial.",
IF(V71=0,
"Participation not attempted. Engage more in discussions.",
IF(V71&gt;=4,
"Outstanding Participation. ",
IF(V71&gt;=2,
"Good Participation. ",
"Needs improvement in Participation. "))) &amp;
IF(W71=0,
"Communication not attempted. Focus on expressing ideas clearly.",
IF(W71&gt;=4,
"Outstanding Communication. ",
IF(W71&gt;=2,
"Good Communication. ",
"Needs improvement in Communication. "))) &amp;
IF(X71=0,
"Presence of Mind not attempted. Work on staying alert during discussions.",
IF(X71&gt;=4,
"Outstanding Presence of Mind. ",
IF(X71&gt;=2,
"Good Presence of Mind. ",
"Needs improvement in Presence of Mind. "))) &amp;
IF(Y71=0,
"Presentation not attempted. Enhance your presentation skills.",
IF(Y71&gt;=4,
"Outstanding Presentation. ",
IF(Y71&gt;=2,
"Good Presentation. ",
"Needs improvement in Presentation. "))))</f>
        <v xml:space="preserve">Good Participation. Good Communication. Good Presence of Mind. Good Presentation. </v>
      </c>
      <c r="AD71" s="43">
        <v>2</v>
      </c>
      <c r="AE71" s="11">
        <v>2</v>
      </c>
      <c r="AF71" s="88">
        <v>2</v>
      </c>
      <c r="AG71" s="25">
        <v>2</v>
      </c>
      <c r="AH71" s="19">
        <f>SUM(AD71:AG71)</f>
        <v>8</v>
      </c>
      <c r="AI71" s="73">
        <v>8</v>
      </c>
      <c r="AJ71" s="76">
        <v>20</v>
      </c>
      <c r="AK71" s="45" t="str">
        <f>IF(AND(AD71=0,AE71=0,AF71=0,AG71=0),
"HR Round not attempted. It's essential to participate in all assessments.",
IF(AD71=0,
"Values not attempted. Reflect on your core values.",
IF(AD71&gt;=4,
"Outstanding understanding of Values. ",
IF(AD71&gt;=2,
"Good understanding of Values. ",
"Needs improvement in understanding Values. "))) &amp;
IF(AE71=0,
"Career Goal not attempted. Define your career objectives clearly.",
IF(AE71&gt;=4,
"Outstanding clarity in Career Goals. ",
IF(AE71&gt;=2,
"Good clarity in Career Goals. ",
"Needs improvement in defining Career Goals. "))) &amp;
IF(AF71=0,
"Behavior Skills not attempted. Work on interpersonal skills.",
IF(AF71&gt;=4,
"Outstanding Behavior Skills. ",
IF(AF71&gt;=2,
"Good Behavior Skills. ",
"Needs improvement in Behavior Skills. "))) &amp;
IF(AG71=0,
"Role Fitment not attempted. Assess your fit for the role.",
IF(AG71&gt;=4,
"Outstanding Role Fitment. ",
IF(AG71&gt;=2,
"Good Role Fitment. ",
"Needs improvement in Role Fitment. "))))</f>
        <v xml:space="preserve">Good understanding of Values. Good clarity in Career Goals. Good Behavior Skills. Good Role Fitment. </v>
      </c>
      <c r="AL71" s="65">
        <f>SUM(J71,R71,Z71,AH71)</f>
        <v>57.9</v>
      </c>
      <c r="AM71" s="57">
        <v>57.9</v>
      </c>
      <c r="AN71" s="70">
        <v>150</v>
      </c>
      <c r="AO71" s="57">
        <v>39</v>
      </c>
      <c r="AP71" s="52" t="str">
        <f>IF(AND(J71=0,R71=0,Z71=0,AH71=0),
"No participation in any assessment. Please ensure participation in future evaluations.",
IF(J71=0,
"Online Assessment not attempted. Focus on improving basic skills.",
IF(J71&gt;=67.5,
"Outstanding performance in Online Assessment. ",
IF(J71&gt;=45,
"Good performance in Online Assessment. ",
"Needs improvement in Online Assessment. "))) &amp;
IF(R71=0,
"Personal Interview not attempted. Active engagement is essential.",
IF(R71&gt;=16,
"Outstanding performance in Personal Interview. ",
IF(R71&gt;=10,
"Good performance in Personal Interview. ",
"Needs improvement in Personal Interview. "))) &amp;
IF(Z71=0,
"GD Round not attempted. Active participation is crucial.",
IF(Z71&gt;=16,
"Outstanding performance in GD Round. ",
IF(Z71&gt;=10,
"Good performance in GD Round. ",
"Needs improvement in GD Round. "))) &amp;
IF(AH71=0,
"HR Round not attempted. Engage in the assessment process.",
IF(AH71&gt;=16,
"Outstanding performance in HR Round. ",
IF(AH71&gt;=10,
"Good performance in HR Round. ",
"Needs improvement in HR Round."))))</f>
        <v>Needs improvement in Online Assessment. Personal Interview not attempted. Active engagement is essential.Good performance in GD Round. Needs improvement in HR Round.</v>
      </c>
    </row>
    <row r="72" spans="1:42" ht="15.75" customHeight="1">
      <c r="A72">
        <v>69</v>
      </c>
      <c r="B72" s="39" t="s">
        <v>220</v>
      </c>
      <c r="C72" s="7" t="s">
        <v>245</v>
      </c>
      <c r="D72" s="40">
        <v>7401300001</v>
      </c>
      <c r="E72" s="7" t="s">
        <v>253</v>
      </c>
      <c r="F72" s="7"/>
      <c r="G72" s="7"/>
      <c r="H72" s="7">
        <v>14.25</v>
      </c>
      <c r="I72" s="7">
        <v>35</v>
      </c>
      <c r="J72" s="28">
        <f>SUM(H72:I72)</f>
        <v>49.25</v>
      </c>
      <c r="K72" s="56">
        <v>49.25</v>
      </c>
      <c r="L72" s="28">
        <v>90</v>
      </c>
      <c r="M72" s="28" t="str">
        <f>IF(H72=0,
"Aptitude section not attempted. ",
IF(H72&gt;=33.75,
"Outstanding performance in Aptitude. ",
IF(H72&gt;=22.5,
"Good performance in Aptitude. ",
"Needs improvement in Aptitude. "))) &amp;
IF(I72=0,
" General MBA Questions section not attempted. ",
IF(I72&gt;=33.75,
" Outstanding performance in General MBA Questions. ",
IF(I72&gt;=22.5,
" Good performance in General MBA Questions. ",
" Needs improvement in General MBA Questions. ")))</f>
        <v xml:space="preserve">Needs improvement in Aptitude.  Outstanding performance in General MBA Questions. </v>
      </c>
      <c r="N72" s="11">
        <v>0</v>
      </c>
      <c r="O72" s="11">
        <v>0</v>
      </c>
      <c r="P72" s="11">
        <v>0</v>
      </c>
      <c r="Q72" s="11">
        <v>0</v>
      </c>
      <c r="R72" s="41">
        <f>SUM(N72:Q72)</f>
        <v>0</v>
      </c>
      <c r="S72" s="60" t="s">
        <v>259</v>
      </c>
      <c r="T72" s="41">
        <v>20</v>
      </c>
      <c r="U72" s="45" t="str">
        <f>IF(AND(N72=0,O72=0,P72=0,Q72=0),
"Personal Interview not attempted. Please ensure participation next time.",
IF(N72=0,
"Self Expression not attempted. Focus on articulating thoughts clearly.",
IF(N72&gt;=4,
"Outstanding Self Expression. ",
IF(N72&gt;=2,
"Good Self Expression. ",
"Needs improvement in Self Expression. "))) &amp;
IF(O72=0,
"Domain Knowledge not attempted. Focus on relevant topics.",
IF(O72&gt;=4,
"Outstanding performance in Domain Knowledge. ",
IF(O72&gt;=2,
"Good performance in Domain Knowledge. ",
"Needs improvement in Domain Knowledge. "))) &amp;
IF(P72=0,
"Thought Process not attempted. Work on organizing your thoughts.",
IF(P72&gt;=4,
"Outstanding Thought Process. ",
IF(P72&gt;=2,
"Good Thought Process. ",
"Needs improvement in Thought Process. "))) &amp;
IF(Q72=0,
"Problem Solving Skills not attempted. Focus on practice.",
IF(Q72&gt;=4,
"Outstanding Problem Solving Skills. ",
IF(Q72&gt;=2,
"Good Problem Solving Skills. ",
"Needs improvement in Problem Solving Skills. "))))</f>
        <v>Personal Interview not attempted. Please ensure participation next time.</v>
      </c>
      <c r="V72" s="43">
        <v>2</v>
      </c>
      <c r="W72" s="11">
        <v>2</v>
      </c>
      <c r="X72" s="3">
        <v>2</v>
      </c>
      <c r="Y72" s="25">
        <v>2</v>
      </c>
      <c r="Z72" s="3">
        <f>SUM(V72:Y72)</f>
        <v>8</v>
      </c>
      <c r="AA72" s="57">
        <v>8</v>
      </c>
      <c r="AB72" s="69">
        <v>20</v>
      </c>
      <c r="AC72" s="7" t="str">
        <f>IF(AND(V72=0,W72=0,X72=0,Y72=0),
"GD Round not attempted. Active participation is crucial.",
IF(V72=0,
"Participation not attempted. Engage more in discussions.",
IF(V72&gt;=4,
"Outstanding Participation. ",
IF(V72&gt;=2,
"Good Participation. ",
"Needs improvement in Participation. "))) &amp;
IF(W72=0,
"Communication not attempted. Focus on expressing ideas clearly.",
IF(W72&gt;=4,
"Outstanding Communication. ",
IF(W72&gt;=2,
"Good Communication. ",
"Needs improvement in Communication. "))) &amp;
IF(X72=0,
"Presence of Mind not attempted. Work on staying alert during discussions.",
IF(X72&gt;=4,
"Outstanding Presence of Mind. ",
IF(X72&gt;=2,
"Good Presence of Mind. ",
"Needs improvement in Presence of Mind. "))) &amp;
IF(Y72=0,
"Presentation not attempted. Enhance your presentation skills.",
IF(Y72&gt;=4,
"Outstanding Presentation. ",
IF(Y72&gt;=2,
"Good Presentation. ",
"Needs improvement in Presentation. "))))</f>
        <v xml:space="preserve">Good Participation. Good Communication. Good Presence of Mind. Good Presentation. </v>
      </c>
      <c r="AD72" s="43">
        <v>0</v>
      </c>
      <c r="AE72" s="11">
        <v>0</v>
      </c>
      <c r="AF72" s="90">
        <v>0</v>
      </c>
      <c r="AG72" s="26">
        <v>0</v>
      </c>
      <c r="AH72" s="19">
        <f>SUM(AD72:AG72)</f>
        <v>0</v>
      </c>
      <c r="AI72" s="73" t="s">
        <v>259</v>
      </c>
      <c r="AJ72" s="76">
        <v>20</v>
      </c>
      <c r="AK72" s="45" t="str">
        <f>IF(AND(AD72=0,AE72=0,AF72=0,AG72=0),
"HR Round not attempted. It's essential to participate in all assessments.",
IF(AD72=0,
"Values not attempted. Reflect on your core values.",
IF(AD72&gt;=4,
"Outstanding understanding of Values. ",
IF(AD72&gt;=2,
"Good understanding of Values. ",
"Needs improvement in understanding Values. "))) &amp;
IF(AE72=0,
"Career Goal not attempted. Define your career objectives clearly.",
IF(AE72&gt;=4,
"Outstanding clarity in Career Goals. ",
IF(AE72&gt;=2,
"Good clarity in Career Goals. ",
"Needs improvement in defining Career Goals. "))) &amp;
IF(AF72=0,
"Behavior Skills not attempted. Work on interpersonal skills.",
IF(AF72&gt;=4,
"Outstanding Behavior Skills. ",
IF(AF72&gt;=2,
"Good Behavior Skills. ",
"Needs improvement in Behavior Skills. "))) &amp;
IF(AG72=0,
"Role Fitment not attempted. Assess your fit for the role.",
IF(AG72&gt;=4,
"Outstanding Role Fitment. ",
IF(AG72&gt;=2,
"Good Role Fitment. ",
"Needs improvement in Role Fitment. "))))</f>
        <v>HR Round not attempted. It's essential to participate in all assessments.</v>
      </c>
      <c r="AL72" s="65">
        <f>SUM(J72,R72,Z72,AH72)</f>
        <v>57.25</v>
      </c>
      <c r="AM72" s="57">
        <v>57.25</v>
      </c>
      <c r="AN72" s="70">
        <v>150</v>
      </c>
      <c r="AO72" s="57">
        <v>44</v>
      </c>
      <c r="AP72" s="52" t="str">
        <f>IF(AND(J72=0,R72=0,Z72=0,AH72=0),
"No participation in any assessment. Please ensure participation in future evaluations.",
IF(J72=0,
"Online Assessment not attempted. Focus on improving basic skills.",
IF(J72&gt;=67.5,
"Outstanding performance in Online Assessment. ",
IF(J72&gt;=45,
"Good performance in Online Assessment. ",
"Needs improvement in Online Assessment. "))) &amp;
IF(R72=0,
"Personal Interview not attempted. Active engagement is essential.",
IF(R72&gt;=16,
"Outstanding performance in Personal Interview. ",
IF(R72&gt;=10,
"Good performance in Personal Interview. ",
"Needs improvement in Personal Interview. "))) &amp;
IF(Z72=0,
"GD Round not attempted. Active participation is crucial.",
IF(Z72&gt;=16,
"Outstanding performance in GD Round. ",
IF(Z72&gt;=10,
"Good performance in GD Round. ",
"Needs improvement in GD Round. "))) &amp;
IF(AH72=0,
"HR Round not attempted. Engage in the assessment process.",
IF(AH72&gt;=16,
"Outstanding performance in HR Round. ",
IF(AH72&gt;=10,
"Good performance in HR Round. ",
"Needs improvement in HR Round."))))</f>
        <v>Good performance in Online Assessment. Personal Interview not attempted. Active engagement is essential.Needs improvement in GD Round. HR Round not attempted. Engage in the assessment process.</v>
      </c>
    </row>
    <row r="73" spans="1:42" ht="15.75" customHeight="1">
      <c r="A73">
        <v>70</v>
      </c>
      <c r="B73" s="39" t="s">
        <v>209</v>
      </c>
      <c r="C73" s="40" t="s">
        <v>210</v>
      </c>
      <c r="D73" s="40">
        <v>8571974791</v>
      </c>
      <c r="E73" s="7" t="s">
        <v>253</v>
      </c>
      <c r="F73" s="7"/>
      <c r="G73" s="7"/>
      <c r="H73" s="7">
        <v>14.9</v>
      </c>
      <c r="I73" s="7">
        <v>19</v>
      </c>
      <c r="J73" s="28">
        <f>SUM(H73:I73)</f>
        <v>33.9</v>
      </c>
      <c r="K73" s="56">
        <v>33.9</v>
      </c>
      <c r="L73" s="28">
        <v>90</v>
      </c>
      <c r="M73" s="28" t="str">
        <f>IF(H73=0,
"Aptitude section not attempted. ",
IF(H73&gt;=33.75,
"Outstanding performance in Aptitude. ",
IF(H73&gt;=22.5,
"Good performance in Aptitude. ",
"Needs improvement in Aptitude. "))) &amp;
IF(I73=0,
" General MBA Questions section not attempted. ",
IF(I73&gt;=33.75,
" Outstanding performance in General MBA Questions. ",
IF(I73&gt;=22.5,
" Good performance in General MBA Questions. ",
" Needs improvement in General MBA Questions. ")))</f>
        <v xml:space="preserve">Needs improvement in Aptitude.  Needs improvement in General MBA Questions. </v>
      </c>
      <c r="N73" s="11">
        <v>1</v>
      </c>
      <c r="O73" s="11">
        <v>2</v>
      </c>
      <c r="P73" s="11">
        <v>2</v>
      </c>
      <c r="Q73" s="11">
        <v>2</v>
      </c>
      <c r="R73" s="41">
        <f>SUM(N73:Q73)</f>
        <v>7</v>
      </c>
      <c r="S73" s="60">
        <v>7</v>
      </c>
      <c r="T73" s="41">
        <v>20</v>
      </c>
      <c r="U73" s="45" t="str">
        <f>IF(AND(N73=0,O73=0,P73=0,Q73=0),
"Personal Interview not attempted. Please ensure participation next time.",
IF(N73=0,
"Self Expression not attempted. Focus on articulating thoughts clearly.",
IF(N73&gt;=4,
"Outstanding Self Expression. ",
IF(N73&gt;=2,
"Good Self Expression. ",
"Needs improvement in Self Expression. "))) &amp;
IF(O73=0,
"Domain Knowledge not attempted. Focus on relevant topics.",
IF(O73&gt;=4,
"Outstanding performance in Domain Knowledge. ",
IF(O73&gt;=2,
"Good performance in Domain Knowledge. ",
"Needs improvement in Domain Knowledge. "))) &amp;
IF(P73=0,
"Thought Process not attempted. Work on organizing your thoughts.",
IF(P73&gt;=4,
"Outstanding Thought Process. ",
IF(P73&gt;=2,
"Good Thought Process. ",
"Needs improvement in Thought Process. "))) &amp;
IF(Q73=0,
"Problem Solving Skills not attempted. Focus on practice.",
IF(Q73&gt;=4,
"Outstanding Problem Solving Skills. ",
IF(Q73&gt;=2,
"Good Problem Solving Skills. ",
"Needs improvement in Problem Solving Skills. "))))</f>
        <v xml:space="preserve">Needs improvement in Self Expression. Good performance in Domain Knowledge. Good Thought Process. Good Problem Solving Skills. </v>
      </c>
      <c r="V73" s="43">
        <v>2</v>
      </c>
      <c r="W73" s="11">
        <v>2</v>
      </c>
      <c r="X73" s="3">
        <v>2</v>
      </c>
      <c r="Y73" s="26">
        <v>2</v>
      </c>
      <c r="Z73" s="3">
        <f>SUM(V73:Y73)</f>
        <v>8</v>
      </c>
      <c r="AA73" s="57">
        <v>8</v>
      </c>
      <c r="AB73" s="69">
        <v>20</v>
      </c>
      <c r="AC73" s="7" t="str">
        <f>IF(AND(V73=0,W73=0,X73=0,Y73=0),
"GD Round not attempted. Active participation is crucial.",
IF(V73=0,
"Participation not attempted. Engage more in discussions.",
IF(V73&gt;=4,
"Outstanding Participation. ",
IF(V73&gt;=2,
"Good Participation. ",
"Needs improvement in Participation. "))) &amp;
IF(W73=0,
"Communication not attempted. Focus on expressing ideas clearly.",
IF(W73&gt;=4,
"Outstanding Communication. ",
IF(W73&gt;=2,
"Good Communication. ",
"Needs improvement in Communication. "))) &amp;
IF(X73=0,
"Presence of Mind not attempted. Work on staying alert during discussions.",
IF(X73&gt;=4,
"Outstanding Presence of Mind. ",
IF(X73&gt;=2,
"Good Presence of Mind. ",
"Needs improvement in Presence of Mind. "))) &amp;
IF(Y73=0,
"Presentation not attempted. Enhance your presentation skills.",
IF(Y73&gt;=4,
"Outstanding Presentation. ",
IF(Y73&gt;=2,
"Good Presentation. ",
"Needs improvement in Presentation. "))))</f>
        <v xml:space="preserve">Good Participation. Good Communication. Good Presence of Mind. Good Presentation. </v>
      </c>
      <c r="AD73" s="43">
        <v>3</v>
      </c>
      <c r="AE73" s="11">
        <v>1</v>
      </c>
      <c r="AF73" s="90">
        <v>1</v>
      </c>
      <c r="AG73" s="26">
        <v>2</v>
      </c>
      <c r="AH73" s="19">
        <f>SUM(AD73:AG73)</f>
        <v>7</v>
      </c>
      <c r="AI73" s="73">
        <v>7</v>
      </c>
      <c r="AJ73" s="76">
        <v>20</v>
      </c>
      <c r="AK73" s="45" t="str">
        <f>IF(AND(AD73=0,AE73=0,AF73=0,AG73=0),
"HR Round not attempted. It's essential to participate in all assessments.",
IF(AD73=0,
"Values not attempted. Reflect on your core values.",
IF(AD73&gt;=4,
"Outstanding understanding of Values. ",
IF(AD73&gt;=2,
"Good understanding of Values. ",
"Needs improvement in understanding Values. "))) &amp;
IF(AE73=0,
"Career Goal not attempted. Define your career objectives clearly.",
IF(AE73&gt;=4,
"Outstanding clarity in Career Goals. ",
IF(AE73&gt;=2,
"Good clarity in Career Goals. ",
"Needs improvement in defining Career Goals. "))) &amp;
IF(AF73=0,
"Behavior Skills not attempted. Work on interpersonal skills.",
IF(AF73&gt;=4,
"Outstanding Behavior Skills. ",
IF(AF73&gt;=2,
"Good Behavior Skills. ",
"Needs improvement in Behavior Skills. "))) &amp;
IF(AG73=0,
"Role Fitment not attempted. Assess your fit for the role.",
IF(AG73&gt;=4,
"Outstanding Role Fitment. ",
IF(AG73&gt;=2,
"Good Role Fitment. ",
"Needs improvement in Role Fitment. "))))</f>
        <v xml:space="preserve">Good understanding of Values. Needs improvement in defining Career Goals. Needs improvement in Behavior Skills. Good Role Fitment. </v>
      </c>
      <c r="AL73" s="65">
        <f>SUM(J73,R73,Z73,AH73)</f>
        <v>55.9</v>
      </c>
      <c r="AM73" s="57">
        <v>55.9</v>
      </c>
      <c r="AN73" s="70">
        <v>150</v>
      </c>
      <c r="AO73" s="57">
        <v>45</v>
      </c>
      <c r="AP73" s="52" t="str">
        <f>IF(AND(J73=0,R73=0,Z73=0,AH73=0),
"No participation in any assessment. Please ensure participation in future evaluations.",
IF(J73=0,
"Online Assessment not attempted. Focus on improving basic skills.",
IF(J73&gt;=67.5,
"Outstanding performance in Online Assessment. ",
IF(J73&gt;=45,
"Good performance in Online Assessment. ",
"Needs improvement in Online Assessment. "))) &amp;
IF(R73=0,
"Personal Interview not attempted. Active engagement is essential.",
IF(R73&gt;=16,
"Outstanding performance in Personal Interview. ",
IF(R73&gt;=10,
"Good performance in Personal Interview. ",
"Needs improvement in Personal Interview. "))) &amp;
IF(Z73=0,
"GD Round not attempted. Active participation is crucial.",
IF(Z73&gt;=16,
"Outstanding performance in GD Round. ",
IF(Z73&gt;=10,
"Good performance in GD Round. ",
"Needs improvement in GD Round. "))) &amp;
IF(AH73=0,
"HR Round not attempted. Engage in the assessment process.",
IF(AH73&gt;=16,
"Outstanding performance in HR Round. ",
IF(AH73&gt;=10,
"Good performance in HR Round. ",
"Needs improvement in HR Round."))))</f>
        <v>Needs improvement in Online Assessment. Needs improvement in Personal Interview. Needs improvement in GD Round. Needs improvement in HR Round.</v>
      </c>
    </row>
    <row r="74" spans="1:42" ht="15.75" customHeight="1">
      <c r="A74">
        <v>71</v>
      </c>
      <c r="B74" s="39" t="s">
        <v>117</v>
      </c>
      <c r="C74" s="40" t="s">
        <v>118</v>
      </c>
      <c r="D74" s="40">
        <v>8837693401</v>
      </c>
      <c r="E74" s="7" t="s">
        <v>253</v>
      </c>
      <c r="F74" s="6"/>
      <c r="G74" s="6"/>
      <c r="H74" s="7">
        <v>17.2</v>
      </c>
      <c r="I74" s="7">
        <v>25</v>
      </c>
      <c r="J74" s="28">
        <f>SUM(H74:I74)</f>
        <v>42.2</v>
      </c>
      <c r="K74" s="56">
        <v>42.2</v>
      </c>
      <c r="L74" s="28">
        <v>90</v>
      </c>
      <c r="M74" s="28" t="str">
        <f>IF(H74=0,
"Aptitude section not attempted. ",
IF(H74&gt;=33.75,
"Outstanding performance in Aptitude. ",
IF(H74&gt;=22.5,
"Good performance in Aptitude. ",
"Needs improvement in Aptitude. "))) &amp;
IF(I74=0,
" General MBA Questions section not attempted. ",
IF(I74&gt;=33.75,
" Outstanding performance in General MBA Questions. ",
IF(I74&gt;=22.5,
" Good performance in General MBA Questions. ",
" Needs improvement in General MBA Questions. ")))</f>
        <v xml:space="preserve">Needs improvement in Aptitude.  Good performance in General MBA Questions. </v>
      </c>
      <c r="N74" s="11">
        <v>3</v>
      </c>
      <c r="O74" s="11">
        <v>3</v>
      </c>
      <c r="P74" s="11">
        <v>4</v>
      </c>
      <c r="Q74" s="11">
        <v>3</v>
      </c>
      <c r="R74" s="41">
        <f>SUM(N74:Q74)</f>
        <v>13</v>
      </c>
      <c r="S74" s="60">
        <v>13</v>
      </c>
      <c r="T74" s="41">
        <v>20</v>
      </c>
      <c r="U74" s="45" t="str">
        <f>IF(AND(N74=0,O74=0,P74=0,Q74=0),
"Personal Interview not attempted. Please ensure participation next time.",
IF(N74=0,
"Self Expression not attempted. Focus on articulating thoughts clearly.",
IF(N74&gt;=4,
"Outstanding Self Expression. ",
IF(N74&gt;=2,
"Good Self Expression. ",
"Needs improvement in Self Expression. "))) &amp;
IF(O74=0,
"Domain Knowledge not attempted. Focus on relevant topics.",
IF(O74&gt;=4,
"Outstanding performance in Domain Knowledge. ",
IF(O74&gt;=2,
"Good performance in Domain Knowledge. ",
"Needs improvement in Domain Knowledge. "))) &amp;
IF(P74=0,
"Thought Process not attempted. Work on organizing your thoughts.",
IF(P74&gt;=4,
"Outstanding Thought Process. ",
IF(P74&gt;=2,
"Good Thought Process. ",
"Needs improvement in Thought Process. "))) &amp;
IF(Q74=0,
"Problem Solving Skills not attempted. Focus on practice.",
IF(Q74&gt;=4,
"Outstanding Problem Solving Skills. ",
IF(Q74&gt;=2,
"Good Problem Solving Skills. ",
"Needs improvement in Problem Solving Skills. "))))</f>
        <v xml:space="preserve">Good Self Expression. Good performance in Domain Knowledge. Outstanding Thought Process. Good Problem Solving Skills. </v>
      </c>
      <c r="V74" s="43">
        <v>0</v>
      </c>
      <c r="W74" s="11">
        <v>0</v>
      </c>
      <c r="X74" s="3">
        <v>0</v>
      </c>
      <c r="Y74">
        <v>0</v>
      </c>
      <c r="Z74" s="3">
        <f>SUM(V74:Y74)</f>
        <v>0</v>
      </c>
      <c r="AA74" s="64" t="s">
        <v>259</v>
      </c>
      <c r="AB74" s="69">
        <v>20</v>
      </c>
      <c r="AC74" s="7" t="str">
        <f>IF(AND(V74=0,W74=0,X74=0,Y74=0),
"GD Round not attempted. Active participation is crucial.",
IF(V74=0,
"Participation not attempted. Engage more in discussions.",
IF(V74&gt;=4,
"Outstanding Participation. ",
IF(V74&gt;=2,
"Good Participation. ",
"Needs improvement in Participation. "))) &amp;
IF(W74=0,
"Communication not attempted. Focus on expressing ideas clearly.",
IF(W74&gt;=4,
"Outstanding Communication. ",
IF(W74&gt;=2,
"Good Communication. ",
"Needs improvement in Communication. "))) &amp;
IF(X74=0,
"Presence of Mind not attempted. Work on staying alert during discussions.",
IF(X74&gt;=4,
"Outstanding Presence of Mind. ",
IF(X74&gt;=2,
"Good Presence of Mind. ",
"Needs improvement in Presence of Mind. "))) &amp;
IF(Y74=0,
"Presentation not attempted. Enhance your presentation skills.",
IF(Y74&gt;=4,
"Outstanding Presentation. ",
IF(Y74&gt;=2,
"Good Presentation. ",
"Needs improvement in Presentation. "))))</f>
        <v>GD Round not attempted. Active participation is crucial.</v>
      </c>
      <c r="AD74" s="88">
        <v>0</v>
      </c>
      <c r="AE74" s="88">
        <v>0</v>
      </c>
      <c r="AF74" s="90">
        <v>0</v>
      </c>
      <c r="AG74" s="87">
        <v>0</v>
      </c>
      <c r="AH74" s="19">
        <f>SUM(AD74:AG74)</f>
        <v>0</v>
      </c>
      <c r="AI74" s="73" t="s">
        <v>259</v>
      </c>
      <c r="AJ74" s="76">
        <v>20</v>
      </c>
      <c r="AK74" s="45" t="str">
        <f>IF(AND(AD74=0,AE74=0,AF74=0,AG74=0),
"HR Round not attempted. It's essential to participate in all assessments.",
IF(AD74=0,
"Values not attempted. Reflect on your core values.",
IF(AD74&gt;=4,
"Outstanding understanding of Values. ",
IF(AD74&gt;=2,
"Good understanding of Values. ",
"Needs improvement in understanding Values. "))) &amp;
IF(AE74=0,
"Career Goal not attempted. Define your career objectives clearly.",
IF(AE74&gt;=4,
"Outstanding clarity in Career Goals. ",
IF(AE74&gt;=2,
"Good clarity in Career Goals. ",
"Needs improvement in defining Career Goals. "))) &amp;
IF(AF74=0,
"Behavior Skills not attempted. Work on interpersonal skills.",
IF(AF74&gt;=4,
"Outstanding Behavior Skills. ",
IF(AF74&gt;=2,
"Good Behavior Skills. ",
"Needs improvement in Behavior Skills. "))) &amp;
IF(AG74=0,
"Role Fitment not attempted. Assess your fit for the role.",
IF(AG74&gt;=4,
"Outstanding Role Fitment. ",
IF(AG74&gt;=2,
"Good Role Fitment. ",
"Needs improvement in Role Fitment. "))))</f>
        <v>HR Round not attempted. It's essential to participate in all assessments.</v>
      </c>
      <c r="AL74" s="65">
        <f>SUM(J74,R74,Z74,AH74)</f>
        <v>55.2</v>
      </c>
      <c r="AM74" s="57">
        <v>55.2</v>
      </c>
      <c r="AN74" s="70">
        <v>150</v>
      </c>
      <c r="AO74" s="57">
        <v>48</v>
      </c>
      <c r="AP74" s="52" t="str">
        <f>IF(AND(J74=0,R74=0,Z74=0,AH74=0),
"No participation in any assessment. Please ensure participation in future evaluations.",
IF(J74=0,
"Online Assessment not attempted. Focus on improving basic skills.",
IF(J74&gt;=67.5,
"Outstanding performance in Online Assessment. ",
IF(J74&gt;=45,
"Good performance in Online Assessment. ",
"Needs improvement in Online Assessment. "))) &amp;
IF(R74=0,
"Personal Interview not attempted. Active engagement is essential.",
IF(R74&gt;=16,
"Outstanding performance in Personal Interview. ",
IF(R74&gt;=10,
"Good performance in Personal Interview. ",
"Needs improvement in Personal Interview. "))) &amp;
IF(Z74=0,
"GD Round not attempted. Active participation is crucial.",
IF(Z74&gt;=16,
"Outstanding performance in GD Round. ",
IF(Z74&gt;=10,
"Good performance in GD Round. ",
"Needs improvement in GD Round. "))) &amp;
IF(AH74=0,
"HR Round not attempted. Engage in the assessment process.",
IF(AH74&gt;=16,
"Outstanding performance in HR Round. ",
IF(AH74&gt;=10,
"Good performance in HR Round. ",
"Needs improvement in HR Round."))))</f>
        <v>Needs improvement in Online Assessment. Good performance in Personal Interview. GD Round not attempted. Active participation is crucial.HR Round not attempted. Engage in the assessment process.</v>
      </c>
    </row>
    <row r="75" spans="1:42" ht="15.75" customHeight="1">
      <c r="A75">
        <v>72</v>
      </c>
      <c r="B75" s="39" t="s">
        <v>119</v>
      </c>
      <c r="C75" s="40" t="s">
        <v>120</v>
      </c>
      <c r="D75" s="40">
        <v>6283844058</v>
      </c>
      <c r="E75" s="7" t="s">
        <v>253</v>
      </c>
      <c r="F75" s="6"/>
      <c r="G75" s="6"/>
      <c r="H75" s="7">
        <v>8.65</v>
      </c>
      <c r="I75" s="7">
        <v>33</v>
      </c>
      <c r="J75" s="28">
        <f>SUM(H75:I75)</f>
        <v>41.65</v>
      </c>
      <c r="K75" s="56">
        <v>41.65</v>
      </c>
      <c r="L75" s="28">
        <v>90</v>
      </c>
      <c r="M75" s="28" t="str">
        <f>IF(H75=0,
"Aptitude section not attempted. ",
IF(H75&gt;=33.75,
"Outstanding performance in Aptitude. ",
IF(H75&gt;=22.5,
"Good performance in Aptitude. ",
"Needs improvement in Aptitude. "))) &amp;
IF(I75=0,
" General MBA Questions section not attempted. ",
IF(I75&gt;=33.75,
" Outstanding performance in General MBA Questions. ",
IF(I75&gt;=22.5,
" Good performance in General MBA Questions. ",
" Needs improvement in General MBA Questions. ")))</f>
        <v xml:space="preserve">Needs improvement in Aptitude.  Good performance in General MBA Questions. </v>
      </c>
      <c r="N75" s="11">
        <v>0</v>
      </c>
      <c r="O75" s="11">
        <v>0</v>
      </c>
      <c r="P75" s="11">
        <v>0</v>
      </c>
      <c r="Q75" s="11">
        <v>0</v>
      </c>
      <c r="R75" s="41">
        <f>SUM(N75:Q75)</f>
        <v>0</v>
      </c>
      <c r="S75" s="60" t="s">
        <v>259</v>
      </c>
      <c r="T75" s="41">
        <v>20</v>
      </c>
      <c r="U75" s="45" t="str">
        <f>IF(AND(N75=0,O75=0,P75=0,Q75=0),
"Personal Interview not attempted. Please ensure participation next time.",
IF(N75=0,
"Self Expression not attempted. Focus on articulating thoughts clearly.",
IF(N75&gt;=4,
"Outstanding Self Expression. ",
IF(N75&gt;=2,
"Good Self Expression. ",
"Needs improvement in Self Expression. "))) &amp;
IF(O75=0,
"Domain Knowledge not attempted. Focus on relevant topics.",
IF(O75&gt;=4,
"Outstanding performance in Domain Knowledge. ",
IF(O75&gt;=2,
"Good performance in Domain Knowledge. ",
"Needs improvement in Domain Knowledge. "))) &amp;
IF(P75=0,
"Thought Process not attempted. Work on organizing your thoughts.",
IF(P75&gt;=4,
"Outstanding Thought Process. ",
IF(P75&gt;=2,
"Good Thought Process. ",
"Needs improvement in Thought Process. "))) &amp;
IF(Q75=0,
"Problem Solving Skills not attempted. Focus on practice.",
IF(Q75&gt;=4,
"Outstanding Problem Solving Skills. ",
IF(Q75&gt;=2,
"Good Problem Solving Skills. ",
"Needs improvement in Problem Solving Skills. "))))</f>
        <v>Personal Interview not attempted. Please ensure participation next time.</v>
      </c>
      <c r="V75" s="43">
        <v>4</v>
      </c>
      <c r="W75" s="11">
        <v>3</v>
      </c>
      <c r="X75" s="3">
        <v>3</v>
      </c>
      <c r="Y75" s="26">
        <v>3</v>
      </c>
      <c r="Z75" s="3">
        <f>SUM(V75:Y75)</f>
        <v>13</v>
      </c>
      <c r="AA75" s="57">
        <v>13</v>
      </c>
      <c r="AB75" s="69">
        <v>20</v>
      </c>
      <c r="AC75" s="7" t="str">
        <f>IF(AND(V75=0,W75=0,X75=0,Y75=0),
"GD Round not attempted. Active participation is crucial.",
IF(V75=0,
"Participation not attempted. Engage more in discussions.",
IF(V75&gt;=4,
"Outstanding Participation. ",
IF(V75&gt;=2,
"Good Participation. ",
"Needs improvement in Participation. "))) &amp;
IF(W75=0,
"Communication not attempted. Focus on expressing ideas clearly.",
IF(W75&gt;=4,
"Outstanding Communication. ",
IF(W75&gt;=2,
"Good Communication. ",
"Needs improvement in Communication. "))) &amp;
IF(X75=0,
"Presence of Mind not attempted. Work on staying alert during discussions.",
IF(X75&gt;=4,
"Outstanding Presence of Mind. ",
IF(X75&gt;=2,
"Good Presence of Mind. ",
"Needs improvement in Presence of Mind. "))) &amp;
IF(Y75=0,
"Presentation not attempted. Enhance your presentation skills.",
IF(Y75&gt;=4,
"Outstanding Presentation. ",
IF(Y75&gt;=2,
"Good Presentation. ",
"Needs improvement in Presentation. "))))</f>
        <v xml:space="preserve">Outstanding Participation. Good Communication. Good Presence of Mind. Good Presentation. </v>
      </c>
      <c r="AD75" s="43">
        <v>0</v>
      </c>
      <c r="AE75" s="11">
        <v>0</v>
      </c>
      <c r="AF75" s="90">
        <v>0</v>
      </c>
      <c r="AG75" s="26">
        <v>0</v>
      </c>
      <c r="AH75" s="19">
        <f>SUM(AD75:AG75)</f>
        <v>0</v>
      </c>
      <c r="AI75" s="73" t="s">
        <v>259</v>
      </c>
      <c r="AJ75" s="76">
        <v>20</v>
      </c>
      <c r="AK75" s="45" t="str">
        <f>IF(AND(AD75=0,AE75=0,AF75=0,AG75=0),
"HR Round not attempted. It's essential to participate in all assessments.",
IF(AD75=0,
"Values not attempted. Reflect on your core values.",
IF(AD75&gt;=4,
"Outstanding understanding of Values. ",
IF(AD75&gt;=2,
"Good understanding of Values. ",
"Needs improvement in understanding Values. "))) &amp;
IF(AE75=0,
"Career Goal not attempted. Define your career objectives clearly.",
IF(AE75&gt;=4,
"Outstanding clarity in Career Goals. ",
IF(AE75&gt;=2,
"Good clarity in Career Goals. ",
"Needs improvement in defining Career Goals. "))) &amp;
IF(AF75=0,
"Behavior Skills not attempted. Work on interpersonal skills.",
IF(AF75&gt;=4,
"Outstanding Behavior Skills. ",
IF(AF75&gt;=2,
"Good Behavior Skills. ",
"Needs improvement in Behavior Skills. "))) &amp;
IF(AG75=0,
"Role Fitment not attempted. Assess your fit for the role.",
IF(AG75&gt;=4,
"Outstanding Role Fitment. ",
IF(AG75&gt;=2,
"Good Role Fitment. ",
"Needs improvement in Role Fitment. "))))</f>
        <v>HR Round not attempted. It's essential to participate in all assessments.</v>
      </c>
      <c r="AL75" s="65">
        <f>SUM(J75,R75,Z75,AH75)</f>
        <v>54.65</v>
      </c>
      <c r="AM75" s="57">
        <v>54.65</v>
      </c>
      <c r="AN75" s="70">
        <v>150</v>
      </c>
      <c r="AO75" s="57">
        <v>50</v>
      </c>
      <c r="AP75" s="52" t="str">
        <f>IF(AND(J75=0,R75=0,Z75=0,AH75=0),
"No participation in any assessment. Please ensure participation in future evaluations.",
IF(J75=0,
"Online Assessment not attempted. Focus on improving basic skills.",
IF(J75&gt;=67.5,
"Outstanding performance in Online Assessment. ",
IF(J75&gt;=45,
"Good performance in Online Assessment. ",
"Needs improvement in Online Assessment. "))) &amp;
IF(R75=0,
"Personal Interview not attempted. Active engagement is essential.",
IF(R75&gt;=16,
"Outstanding performance in Personal Interview. ",
IF(R75&gt;=10,
"Good performance in Personal Interview. ",
"Needs improvement in Personal Interview. "))) &amp;
IF(Z75=0,
"GD Round not attempted. Active participation is crucial.",
IF(Z75&gt;=16,
"Outstanding performance in GD Round. ",
IF(Z75&gt;=10,
"Good performance in GD Round. ",
"Needs improvement in GD Round. "))) &amp;
IF(AH75=0,
"HR Round not attempted. Engage in the assessment process.",
IF(AH75&gt;=16,
"Outstanding performance in HR Round. ",
IF(AH75&gt;=10,
"Good performance in HR Round. ",
"Needs improvement in HR Round."))))</f>
        <v>Needs improvement in Online Assessment. Personal Interview not attempted. Active engagement is essential.Good performance in GD Round. HR Round not attempted. Engage in the assessment process.</v>
      </c>
    </row>
    <row r="76" spans="1:42" ht="15.75" customHeight="1">
      <c r="A76">
        <v>73</v>
      </c>
      <c r="B76" s="39" t="s">
        <v>71</v>
      </c>
      <c r="C76" s="40" t="s">
        <v>72</v>
      </c>
      <c r="D76" s="40">
        <v>9878160447</v>
      </c>
      <c r="E76" s="7" t="s">
        <v>253</v>
      </c>
      <c r="F76" s="6"/>
      <c r="G76" s="6"/>
      <c r="H76" s="7">
        <v>15.6</v>
      </c>
      <c r="I76" s="7">
        <v>26</v>
      </c>
      <c r="J76" s="28">
        <f>SUM(H76:I76)</f>
        <v>41.6</v>
      </c>
      <c r="K76" s="56">
        <v>41.6</v>
      </c>
      <c r="L76" s="28">
        <v>90</v>
      </c>
      <c r="M76" s="28" t="str">
        <f>IF(H76=0,
"Aptitude section not attempted. ",
IF(H76&gt;=33.75,
"Outstanding performance in Aptitude. ",
IF(H76&gt;=22.5,
"Good performance in Aptitude. ",
"Needs improvement in Aptitude. "))) &amp;
IF(I76=0,
" General MBA Questions section not attempted. ",
IF(I76&gt;=33.75,
" Outstanding performance in General MBA Questions. ",
IF(I76&gt;=22.5,
" Good performance in General MBA Questions. ",
" Needs improvement in General MBA Questions. ")))</f>
        <v xml:space="preserve">Needs improvement in Aptitude.  Good performance in General MBA Questions. </v>
      </c>
      <c r="N76" s="11">
        <v>0</v>
      </c>
      <c r="O76" s="11">
        <v>0</v>
      </c>
      <c r="P76" s="11">
        <v>0</v>
      </c>
      <c r="Q76" s="11">
        <v>0</v>
      </c>
      <c r="R76" s="41">
        <f>SUM(N76:Q76)</f>
        <v>0</v>
      </c>
      <c r="S76" s="60" t="s">
        <v>259</v>
      </c>
      <c r="T76" s="41">
        <v>20</v>
      </c>
      <c r="U76" s="45" t="str">
        <f>IF(AND(N76=0,O76=0,P76=0,Q76=0),
"Personal Interview not attempted. Please ensure participation next time.",
IF(N76=0,
"Self Expression not attempted. Focus on articulating thoughts clearly.",
IF(N76&gt;=4,
"Outstanding Self Expression. ",
IF(N76&gt;=2,
"Good Self Expression. ",
"Needs improvement in Self Expression. "))) &amp;
IF(O76=0,
"Domain Knowledge not attempted. Focus on relevant topics.",
IF(O76&gt;=4,
"Outstanding performance in Domain Knowledge. ",
IF(O76&gt;=2,
"Good performance in Domain Knowledge. ",
"Needs improvement in Domain Knowledge. "))) &amp;
IF(P76=0,
"Thought Process not attempted. Work on organizing your thoughts.",
IF(P76&gt;=4,
"Outstanding Thought Process. ",
IF(P76&gt;=2,
"Good Thought Process. ",
"Needs improvement in Thought Process. "))) &amp;
IF(Q76=0,
"Problem Solving Skills not attempted. Focus on practice.",
IF(Q76&gt;=4,
"Outstanding Problem Solving Skills. ",
IF(Q76&gt;=2,
"Good Problem Solving Skills. ",
"Needs improvement in Problem Solving Skills. "))))</f>
        <v>Personal Interview not attempted. Please ensure participation next time.</v>
      </c>
      <c r="V76" s="43">
        <v>2</v>
      </c>
      <c r="W76" s="11">
        <v>2</v>
      </c>
      <c r="X76" s="3">
        <v>2</v>
      </c>
      <c r="Y76" s="87">
        <v>2</v>
      </c>
      <c r="Z76" s="3">
        <f>SUM(V76:Y76)</f>
        <v>8</v>
      </c>
      <c r="AA76" s="57">
        <v>8</v>
      </c>
      <c r="AB76" s="69">
        <v>20</v>
      </c>
      <c r="AC76" s="7" t="str">
        <f>IF(AND(V76=0,W76=0,X76=0,Y76=0),
"GD Round not attempted. Active participation is crucial.",
IF(V76=0,
"Participation not attempted. Engage more in discussions.",
IF(V76&gt;=4,
"Outstanding Participation. ",
IF(V76&gt;=2,
"Good Participation. ",
"Needs improvement in Participation. "))) &amp;
IF(W76=0,
"Communication not attempted. Focus on expressing ideas clearly.",
IF(W76&gt;=4,
"Outstanding Communication. ",
IF(W76&gt;=2,
"Good Communication. ",
"Needs improvement in Communication. "))) &amp;
IF(X76=0,
"Presence of Mind not attempted. Work on staying alert during discussions.",
IF(X76&gt;=4,
"Outstanding Presence of Mind. ",
IF(X76&gt;=2,
"Good Presence of Mind. ",
"Needs improvement in Presence of Mind. "))) &amp;
IF(Y76=0,
"Presentation not attempted. Enhance your presentation skills.",
IF(Y76&gt;=4,
"Outstanding Presentation. ",
IF(Y76&gt;=2,
"Good Presentation. ",
"Needs improvement in Presentation. "))))</f>
        <v xml:space="preserve">Good Participation. Good Communication. Good Presence of Mind. Good Presentation. </v>
      </c>
      <c r="AD76" s="88">
        <v>1</v>
      </c>
      <c r="AE76" s="88">
        <v>1</v>
      </c>
      <c r="AF76" s="88">
        <v>1</v>
      </c>
      <c r="AG76" s="88">
        <v>1</v>
      </c>
      <c r="AH76" s="19">
        <f>SUM(AD76:AG76)</f>
        <v>4</v>
      </c>
      <c r="AI76" s="73">
        <v>4</v>
      </c>
      <c r="AJ76" s="76">
        <v>20</v>
      </c>
      <c r="AK76" s="45" t="str">
        <f>IF(AND(AD76=0,AE76=0,AF76=0,AG76=0),
"HR Round not attempted. It's essential to participate in all assessments.",
IF(AD76=0,
"Values not attempted. Reflect on your core values.",
IF(AD76&gt;=4,
"Outstanding understanding of Values. ",
IF(AD76&gt;=2,
"Good understanding of Values. ",
"Needs improvement in understanding Values. "))) &amp;
IF(AE76=0,
"Career Goal not attempted. Define your career objectives clearly.",
IF(AE76&gt;=4,
"Outstanding clarity in Career Goals. ",
IF(AE76&gt;=2,
"Good clarity in Career Goals. ",
"Needs improvement in defining Career Goals. "))) &amp;
IF(AF76=0,
"Behavior Skills not attempted. Work on interpersonal skills.",
IF(AF76&gt;=4,
"Outstanding Behavior Skills. ",
IF(AF76&gt;=2,
"Good Behavior Skills. ",
"Needs improvement in Behavior Skills. "))) &amp;
IF(AG76=0,
"Role Fitment not attempted. Assess your fit for the role.",
IF(AG76&gt;=4,
"Outstanding Role Fitment. ",
IF(AG76&gt;=2,
"Good Role Fitment. ",
"Needs improvement in Role Fitment. "))))</f>
        <v xml:space="preserve">Needs improvement in understanding Values. Needs improvement in defining Career Goals. Needs improvement in Behavior Skills. Needs improvement in Role Fitment. </v>
      </c>
      <c r="AL76" s="65">
        <f>SUM(J76,R76,Z76,AH76)</f>
        <v>53.6</v>
      </c>
      <c r="AM76" s="57">
        <v>53.6</v>
      </c>
      <c r="AN76" s="70">
        <v>150</v>
      </c>
      <c r="AO76" s="57">
        <v>51</v>
      </c>
      <c r="AP76" s="52" t="str">
        <f>IF(AND(J76=0,R76=0,Z76=0,AH76=0),
"No participation in any assessment. Please ensure participation in future evaluations.",
IF(J76=0,
"Online Assessment not attempted. Focus on improving basic skills.",
IF(J76&gt;=67.5,
"Outstanding performance in Online Assessment. ",
IF(J76&gt;=45,
"Good performance in Online Assessment. ",
"Needs improvement in Online Assessment. "))) &amp;
IF(R76=0,
"Personal Interview not attempted. Active engagement is essential.",
IF(R76&gt;=16,
"Outstanding performance in Personal Interview. ",
IF(R76&gt;=10,
"Good performance in Personal Interview. ",
"Needs improvement in Personal Interview. "))) &amp;
IF(Z76=0,
"GD Round not attempted. Active participation is crucial.",
IF(Z76&gt;=16,
"Outstanding performance in GD Round. ",
IF(Z76&gt;=10,
"Good performance in GD Round. ",
"Needs improvement in GD Round. "))) &amp;
IF(AH76=0,
"HR Round not attempted. Engage in the assessment process.",
IF(AH76&gt;=16,
"Outstanding performance in HR Round. ",
IF(AH76&gt;=10,
"Good performance in HR Round. ",
"Needs improvement in HR Round."))))</f>
        <v>Needs improvement in Online Assessment. Personal Interview not attempted. Active engagement is essential.Needs improvement in GD Round. Needs improvement in HR Round.</v>
      </c>
    </row>
    <row r="77" spans="1:42" ht="15.75" customHeight="1">
      <c r="A77">
        <v>74</v>
      </c>
      <c r="B77" s="39" t="s">
        <v>98</v>
      </c>
      <c r="C77" s="40" t="s">
        <v>99</v>
      </c>
      <c r="D77" s="40">
        <v>8360686214</v>
      </c>
      <c r="E77" s="7" t="s">
        <v>253</v>
      </c>
      <c r="F77" s="6"/>
      <c r="G77" s="6"/>
      <c r="H77" s="7">
        <v>14.95</v>
      </c>
      <c r="I77" s="7">
        <v>24</v>
      </c>
      <c r="J77" s="28">
        <f>SUM(H77:I77)</f>
        <v>38.950000000000003</v>
      </c>
      <c r="K77" s="56">
        <v>38.950000000000003</v>
      </c>
      <c r="L77" s="28">
        <v>90</v>
      </c>
      <c r="M77" s="28" t="str">
        <f>IF(H77=0,
"Aptitude section not attempted. ",
IF(H77&gt;=33.75,
"Outstanding performance in Aptitude. ",
IF(H77&gt;=22.5,
"Good performance in Aptitude. ",
"Needs improvement in Aptitude. "))) &amp;
IF(I77=0,
" General MBA Questions section not attempted. ",
IF(I77&gt;=33.75,
" Outstanding performance in General MBA Questions. ",
IF(I77&gt;=22.5,
" Good performance in General MBA Questions. ",
" Needs improvement in General MBA Questions. ")))</f>
        <v xml:space="preserve">Needs improvement in Aptitude.  Good performance in General MBA Questions. </v>
      </c>
      <c r="N77" s="11">
        <v>0</v>
      </c>
      <c r="O77" s="11">
        <v>0</v>
      </c>
      <c r="P77" s="11">
        <v>0</v>
      </c>
      <c r="Q77" s="11">
        <v>0</v>
      </c>
      <c r="R77" s="41">
        <f>SUM(N77:Q77)</f>
        <v>0</v>
      </c>
      <c r="S77" s="60" t="s">
        <v>259</v>
      </c>
      <c r="T77" s="41">
        <v>20</v>
      </c>
      <c r="U77" s="45" t="str">
        <f>IF(AND(N77=0,O77=0,P77=0,Q77=0),
"Personal Interview not attempted. Please ensure participation next time.",
IF(N77=0,
"Self Expression not attempted. Focus on articulating thoughts clearly.",
IF(N77&gt;=4,
"Outstanding Self Expression. ",
IF(N77&gt;=2,
"Good Self Expression. ",
"Needs improvement in Self Expression. "))) &amp;
IF(O77=0,
"Domain Knowledge not attempted. Focus on relevant topics.",
IF(O77&gt;=4,
"Outstanding performance in Domain Knowledge. ",
IF(O77&gt;=2,
"Good performance in Domain Knowledge. ",
"Needs improvement in Domain Knowledge. "))) &amp;
IF(P77=0,
"Thought Process not attempted. Work on organizing your thoughts.",
IF(P77&gt;=4,
"Outstanding Thought Process. ",
IF(P77&gt;=2,
"Good Thought Process. ",
"Needs improvement in Thought Process. "))) &amp;
IF(Q77=0,
"Problem Solving Skills not attempted. Focus on practice.",
IF(Q77&gt;=4,
"Outstanding Problem Solving Skills. ",
IF(Q77&gt;=2,
"Good Problem Solving Skills. ",
"Needs improvement in Problem Solving Skills. "))))</f>
        <v>Personal Interview not attempted. Please ensure participation next time.</v>
      </c>
      <c r="V77" s="43">
        <v>3</v>
      </c>
      <c r="W77" s="11">
        <v>2</v>
      </c>
      <c r="X77" s="3">
        <v>3</v>
      </c>
      <c r="Y77" s="88">
        <v>2</v>
      </c>
      <c r="Z77" s="3">
        <f>SUM(V77:Y77)</f>
        <v>10</v>
      </c>
      <c r="AA77" s="57">
        <v>10</v>
      </c>
      <c r="AB77" s="69">
        <v>20</v>
      </c>
      <c r="AC77" s="7" t="str">
        <f>IF(AND(V77=0,W77=0,X77=0,Y77=0),
"GD Round not attempted. Active participation is crucial.",
IF(V77=0,
"Participation not attempted. Engage more in discussions.",
IF(V77&gt;=4,
"Outstanding Participation. ",
IF(V77&gt;=2,
"Good Participation. ",
"Needs improvement in Participation. "))) &amp;
IF(W77=0,
"Communication not attempted. Focus on expressing ideas clearly.",
IF(W77&gt;=4,
"Outstanding Communication. ",
IF(W77&gt;=2,
"Good Communication. ",
"Needs improvement in Communication. "))) &amp;
IF(X77=0,
"Presence of Mind not attempted. Work on staying alert during discussions.",
IF(X77&gt;=4,
"Outstanding Presence of Mind. ",
IF(X77&gt;=2,
"Good Presence of Mind. ",
"Needs improvement in Presence of Mind. "))) &amp;
IF(Y77=0,
"Presentation not attempted. Enhance your presentation skills.",
IF(Y77&gt;=4,
"Outstanding Presentation. ",
IF(Y77&gt;=2,
"Good Presentation. ",
"Needs improvement in Presentation. "))))</f>
        <v xml:space="preserve">Good Participation. Good Communication. Good Presence of Mind. Good Presentation. </v>
      </c>
      <c r="AD77" s="43">
        <v>1</v>
      </c>
      <c r="AE77" s="11">
        <v>1</v>
      </c>
      <c r="AF77" s="90">
        <v>1</v>
      </c>
      <c r="AG77" s="26">
        <v>1</v>
      </c>
      <c r="AH77" s="19">
        <f>SUM(AD77:AG77)</f>
        <v>4</v>
      </c>
      <c r="AI77" s="73">
        <v>4</v>
      </c>
      <c r="AJ77" s="76">
        <v>20</v>
      </c>
      <c r="AK77" s="45" t="str">
        <f>IF(AND(AD77=0,AE77=0,AF77=0,AG77=0),
"HR Round not attempted. It's essential to participate in all assessments.",
IF(AD77=0,
"Values not attempted. Reflect on your core values.",
IF(AD77&gt;=4,
"Outstanding understanding of Values. ",
IF(AD77&gt;=2,
"Good understanding of Values. ",
"Needs improvement in understanding Values. "))) &amp;
IF(AE77=0,
"Career Goal not attempted. Define your career objectives clearly.",
IF(AE77&gt;=4,
"Outstanding clarity in Career Goals. ",
IF(AE77&gt;=2,
"Good clarity in Career Goals. ",
"Needs improvement in defining Career Goals. "))) &amp;
IF(AF77=0,
"Behavior Skills not attempted. Work on interpersonal skills.",
IF(AF77&gt;=4,
"Outstanding Behavior Skills. ",
IF(AF77&gt;=2,
"Good Behavior Skills. ",
"Needs improvement in Behavior Skills. "))) &amp;
IF(AG77=0,
"Role Fitment not attempted. Assess your fit for the role.",
IF(AG77&gt;=4,
"Outstanding Role Fitment. ",
IF(AG77&gt;=2,
"Good Role Fitment. ",
"Needs improvement in Role Fitment. "))))</f>
        <v xml:space="preserve">Needs improvement in understanding Values. Needs improvement in defining Career Goals. Needs improvement in Behavior Skills. Needs improvement in Role Fitment. </v>
      </c>
      <c r="AL77" s="65">
        <f>SUM(J77,R77,Z77,AH77)</f>
        <v>52.95</v>
      </c>
      <c r="AM77" s="57">
        <v>52.95</v>
      </c>
      <c r="AN77" s="70">
        <v>150</v>
      </c>
      <c r="AO77" s="57">
        <v>52</v>
      </c>
      <c r="AP77" s="52" t="str">
        <f>IF(AND(J77=0,R77=0,Z77=0,AH77=0),
"No participation in any assessment. Please ensure participation in future evaluations.",
IF(J77=0,
"Online Assessment not attempted. Focus on improving basic skills.",
IF(J77&gt;=67.5,
"Outstanding performance in Online Assessment. ",
IF(J77&gt;=45,
"Good performance in Online Assessment. ",
"Needs improvement in Online Assessment. "))) &amp;
IF(R77=0,
"Personal Interview not attempted. Active engagement is essential.",
IF(R77&gt;=16,
"Outstanding performance in Personal Interview. ",
IF(R77&gt;=10,
"Good performance in Personal Interview. ",
"Needs improvement in Personal Interview. "))) &amp;
IF(Z77=0,
"GD Round not attempted. Active participation is crucial.",
IF(Z77&gt;=16,
"Outstanding performance in GD Round. ",
IF(Z77&gt;=10,
"Good performance in GD Round. ",
"Needs improvement in GD Round. "))) &amp;
IF(AH77=0,
"HR Round not attempted. Engage in the assessment process.",
IF(AH77&gt;=16,
"Outstanding performance in HR Round. ",
IF(AH77&gt;=10,
"Good performance in HR Round. ",
"Needs improvement in HR Round."))))</f>
        <v>Needs improvement in Online Assessment. Personal Interview not attempted. Active engagement is essential.Good performance in GD Round. Needs improvement in HR Round.</v>
      </c>
    </row>
    <row r="78" spans="1:42" ht="15.75" customHeight="1">
      <c r="A78">
        <v>75</v>
      </c>
      <c r="B78" s="39" t="s">
        <v>109</v>
      </c>
      <c r="C78" s="40" t="s">
        <v>110</v>
      </c>
      <c r="D78" s="40">
        <v>7015491810</v>
      </c>
      <c r="E78" s="7" t="s">
        <v>253</v>
      </c>
      <c r="F78" s="6"/>
      <c r="G78" s="6"/>
      <c r="H78" s="7">
        <v>12.4</v>
      </c>
      <c r="I78" s="7">
        <v>31</v>
      </c>
      <c r="J78" s="28">
        <f>SUM(H78:I78)</f>
        <v>43.4</v>
      </c>
      <c r="K78" s="56">
        <v>43.4</v>
      </c>
      <c r="L78" s="28">
        <v>90</v>
      </c>
      <c r="M78" s="28" t="str">
        <f>IF(H78=0,
"Aptitude section not attempted. ",
IF(H78&gt;=33.75,
"Outstanding performance in Aptitude. ",
IF(H78&gt;=22.5,
"Good performance in Aptitude. ",
"Needs improvement in Aptitude. "))) &amp;
IF(I78=0,
" General MBA Questions section not attempted. ",
IF(I78&gt;=33.75,
" Outstanding performance in General MBA Questions. ",
IF(I78&gt;=22.5,
" Good performance in General MBA Questions. ",
" Needs improvement in General MBA Questions. ")))</f>
        <v xml:space="preserve">Needs improvement in Aptitude.  Good performance in General MBA Questions. </v>
      </c>
      <c r="N78" s="11">
        <v>0</v>
      </c>
      <c r="O78" s="11">
        <v>0</v>
      </c>
      <c r="P78" s="11">
        <v>0</v>
      </c>
      <c r="Q78" s="11">
        <v>0</v>
      </c>
      <c r="R78" s="41">
        <f>SUM(N78:Q78)</f>
        <v>0</v>
      </c>
      <c r="S78" s="60" t="s">
        <v>259</v>
      </c>
      <c r="T78" s="41">
        <v>20</v>
      </c>
      <c r="U78" s="45" t="str">
        <f>IF(AND(N78=0,O78=0,P78=0,Q78=0),
"Personal Interview not attempted. Please ensure participation next time.",
IF(N78=0,
"Self Expression not attempted. Focus on articulating thoughts clearly.",
IF(N78&gt;=4,
"Outstanding Self Expression. ",
IF(N78&gt;=2,
"Good Self Expression. ",
"Needs improvement in Self Expression. "))) &amp;
IF(O78=0,
"Domain Knowledge not attempted. Focus on relevant topics.",
IF(O78&gt;=4,
"Outstanding performance in Domain Knowledge. ",
IF(O78&gt;=2,
"Good performance in Domain Knowledge. ",
"Needs improvement in Domain Knowledge. "))) &amp;
IF(P78=0,
"Thought Process not attempted. Work on organizing your thoughts.",
IF(P78&gt;=4,
"Outstanding Thought Process. ",
IF(P78&gt;=2,
"Good Thought Process. ",
"Needs improvement in Thought Process. "))) &amp;
IF(Q78=0,
"Problem Solving Skills not attempted. Focus on practice.",
IF(Q78&gt;=4,
"Outstanding Problem Solving Skills. ",
IF(Q78&gt;=2,
"Good Problem Solving Skills. ",
"Needs improvement in Problem Solving Skills. "))))</f>
        <v>Personal Interview not attempted. Please ensure participation next time.</v>
      </c>
      <c r="V78" s="43">
        <v>0</v>
      </c>
      <c r="W78" s="11">
        <v>0</v>
      </c>
      <c r="X78" s="3">
        <v>0</v>
      </c>
      <c r="Y78" s="87">
        <v>0</v>
      </c>
      <c r="Z78" s="3">
        <f>SUM(V78:Y78)</f>
        <v>0</v>
      </c>
      <c r="AA78" s="64" t="s">
        <v>259</v>
      </c>
      <c r="AB78" s="69">
        <v>20</v>
      </c>
      <c r="AC78" s="7" t="str">
        <f>IF(AND(V78=0,W78=0,X78=0,Y78=0),
"GD Round not attempted. Active participation is crucial.",
IF(V78=0,
"Participation not attempted. Engage more in discussions.",
IF(V78&gt;=4,
"Outstanding Participation. ",
IF(V78&gt;=2,
"Good Participation. ",
"Needs improvement in Participation. "))) &amp;
IF(W78=0,
"Communication not attempted. Focus on expressing ideas clearly.",
IF(W78&gt;=4,
"Outstanding Communication. ",
IF(W78&gt;=2,
"Good Communication. ",
"Needs improvement in Communication. "))) &amp;
IF(X78=0,
"Presence of Mind not attempted. Work on staying alert during discussions.",
IF(X78&gt;=4,
"Outstanding Presence of Mind. ",
IF(X78&gt;=2,
"Good Presence of Mind. ",
"Needs improvement in Presence of Mind. "))) &amp;
IF(Y78=0,
"Presentation not attempted. Enhance your presentation skills.",
IF(Y78&gt;=4,
"Outstanding Presentation. ",
IF(Y78&gt;=2,
"Good Presentation. ",
"Needs improvement in Presentation. "))))</f>
        <v>GD Round not attempted. Active participation is crucial.</v>
      </c>
      <c r="AD78" s="88">
        <v>2</v>
      </c>
      <c r="AE78" s="88">
        <v>2</v>
      </c>
      <c r="AF78" s="88">
        <v>2</v>
      </c>
      <c r="AG78" s="88">
        <v>2</v>
      </c>
      <c r="AH78" s="19">
        <f>SUM(AD78:AG78)</f>
        <v>8</v>
      </c>
      <c r="AI78" s="73">
        <v>8</v>
      </c>
      <c r="AJ78" s="76">
        <v>20</v>
      </c>
      <c r="AK78" s="45" t="str">
        <f>IF(AND(AD78=0,AE78=0,AF78=0,AG78=0),
"HR Round not attempted. It's essential to participate in all assessments.",
IF(AD78=0,
"Values not attempted. Reflect on your core values.",
IF(AD78&gt;=4,
"Outstanding understanding of Values. ",
IF(AD78&gt;=2,
"Good understanding of Values. ",
"Needs improvement in understanding Values. "))) &amp;
IF(AE78=0,
"Career Goal not attempted. Define your career objectives clearly.",
IF(AE78&gt;=4,
"Outstanding clarity in Career Goals. ",
IF(AE78&gt;=2,
"Good clarity in Career Goals. ",
"Needs improvement in defining Career Goals. "))) &amp;
IF(AF78=0,
"Behavior Skills not attempted. Work on interpersonal skills.",
IF(AF78&gt;=4,
"Outstanding Behavior Skills. ",
IF(AF78&gt;=2,
"Good Behavior Skills. ",
"Needs improvement in Behavior Skills. "))) &amp;
IF(AG78=0,
"Role Fitment not attempted. Assess your fit for the role.",
IF(AG78&gt;=4,
"Outstanding Role Fitment. ",
IF(AG78&gt;=2,
"Good Role Fitment. ",
"Needs improvement in Role Fitment. "))))</f>
        <v xml:space="preserve">Good understanding of Values. Good clarity in Career Goals. Good Behavior Skills. Good Role Fitment. </v>
      </c>
      <c r="AL78" s="65">
        <f>SUM(J78,R78,Z78,AH78)</f>
        <v>51.4</v>
      </c>
      <c r="AM78" s="57">
        <v>51.4</v>
      </c>
      <c r="AN78" s="70">
        <v>150</v>
      </c>
      <c r="AO78" s="57">
        <v>53</v>
      </c>
      <c r="AP78" s="52" t="str">
        <f>IF(AND(J78=0,R78=0,Z78=0,AH78=0),
"No participation in any assessment. Please ensure participation in future evaluations.",
IF(J78=0,
"Online Assessment not attempted. Focus on improving basic skills.",
IF(J78&gt;=67.5,
"Outstanding performance in Online Assessment. ",
IF(J78&gt;=45,
"Good performance in Online Assessment. ",
"Needs improvement in Online Assessment. "))) &amp;
IF(R78=0,
"Personal Interview not attempted. Active engagement is essential.",
IF(R78&gt;=16,
"Outstanding performance in Personal Interview. ",
IF(R78&gt;=10,
"Good performance in Personal Interview. ",
"Needs improvement in Personal Interview. "))) &amp;
IF(Z78=0,
"GD Round not attempted. Active participation is crucial.",
IF(Z78&gt;=16,
"Outstanding performance in GD Round. ",
IF(Z78&gt;=10,
"Good performance in GD Round. ",
"Needs improvement in GD Round. "))) &amp;
IF(AH78=0,
"HR Round not attempted. Engage in the assessment process.",
IF(AH78&gt;=16,
"Outstanding performance in HR Round. ",
IF(AH78&gt;=10,
"Good performance in HR Round. ",
"Needs improvement in HR Round."))))</f>
        <v>Needs improvement in Online Assessment. Personal Interview not attempted. Active engagement is essential.GD Round not attempted. Active participation is crucial.Needs improvement in HR Round.</v>
      </c>
    </row>
    <row r="79" spans="1:42" ht="15.75" customHeight="1">
      <c r="A79">
        <v>76</v>
      </c>
      <c r="B79" s="39" t="s">
        <v>103</v>
      </c>
      <c r="C79" s="40" t="s">
        <v>104</v>
      </c>
      <c r="D79" s="40">
        <v>9855890725</v>
      </c>
      <c r="E79" s="7" t="s">
        <v>253</v>
      </c>
      <c r="F79" s="4"/>
      <c r="G79" s="4"/>
      <c r="H79" s="7">
        <v>7.85</v>
      </c>
      <c r="I79" s="7">
        <v>33</v>
      </c>
      <c r="J79" s="28">
        <f>SUM(H79:I79)</f>
        <v>40.85</v>
      </c>
      <c r="K79" s="56">
        <v>40.85</v>
      </c>
      <c r="L79" s="28">
        <v>90</v>
      </c>
      <c r="M79" s="28" t="str">
        <f>IF(H79=0,
"Aptitude section not attempted. ",
IF(H79&gt;=33.75,
"Outstanding performance in Aptitude. ",
IF(H79&gt;=22.5,
"Good performance in Aptitude. ",
"Needs improvement in Aptitude. "))) &amp;
IF(I79=0,
" General MBA Questions section not attempted. ",
IF(I79&gt;=33.75,
" Outstanding performance in General MBA Questions. ",
IF(I79&gt;=22.5,
" Good performance in General MBA Questions. ",
" Needs improvement in General MBA Questions. ")))</f>
        <v xml:space="preserve">Needs improvement in Aptitude.  Good performance in General MBA Questions. </v>
      </c>
      <c r="N79" s="11">
        <v>0</v>
      </c>
      <c r="O79" s="11">
        <v>0</v>
      </c>
      <c r="P79" s="11">
        <v>0</v>
      </c>
      <c r="Q79" s="11">
        <v>0</v>
      </c>
      <c r="R79" s="41">
        <f>SUM(N79:Q79)</f>
        <v>0</v>
      </c>
      <c r="S79" s="60" t="s">
        <v>259</v>
      </c>
      <c r="T79" s="41">
        <v>20</v>
      </c>
      <c r="U79" s="45" t="str">
        <f>IF(AND(N79=0,O79=0,P79=0,Q79=0),
"Personal Interview not attempted. Please ensure participation next time.",
IF(N79=0,
"Self Expression not attempted. Focus on articulating thoughts clearly.",
IF(N79&gt;=4,
"Outstanding Self Expression. ",
IF(N79&gt;=2,
"Good Self Expression. ",
"Needs improvement in Self Expression. "))) &amp;
IF(O79=0,
"Domain Knowledge not attempted. Focus on relevant topics.",
IF(O79&gt;=4,
"Outstanding performance in Domain Knowledge. ",
IF(O79&gt;=2,
"Good performance in Domain Knowledge. ",
"Needs improvement in Domain Knowledge. "))) &amp;
IF(P79=0,
"Thought Process not attempted. Work on organizing your thoughts.",
IF(P79&gt;=4,
"Outstanding Thought Process. ",
IF(P79&gt;=2,
"Good Thought Process. ",
"Needs improvement in Thought Process. "))) &amp;
IF(Q79=0,
"Problem Solving Skills not attempted. Focus on practice.",
IF(Q79&gt;=4,
"Outstanding Problem Solving Skills. ",
IF(Q79&gt;=2,
"Good Problem Solving Skills. ",
"Needs improvement in Problem Solving Skills. "))))</f>
        <v>Personal Interview not attempted. Please ensure participation next time.</v>
      </c>
      <c r="V79" s="43">
        <v>2</v>
      </c>
      <c r="W79" s="11">
        <v>3</v>
      </c>
      <c r="X79" s="3">
        <v>2</v>
      </c>
      <c r="Y79" s="26">
        <v>3</v>
      </c>
      <c r="Z79" s="3">
        <f>SUM(V79:Y79)</f>
        <v>10</v>
      </c>
      <c r="AA79" s="57">
        <v>10</v>
      </c>
      <c r="AB79" s="69">
        <v>20</v>
      </c>
      <c r="AC79" s="7" t="str">
        <f>IF(AND(V79=0,W79=0,X79=0,Y79=0),
"GD Round not attempted. Active participation is crucial.",
IF(V79=0,
"Participation not attempted. Engage more in discussions.",
IF(V79&gt;=4,
"Outstanding Participation. ",
IF(V79&gt;=2,
"Good Participation. ",
"Needs improvement in Participation. "))) &amp;
IF(W79=0,
"Communication not attempted. Focus on expressing ideas clearly.",
IF(W79&gt;=4,
"Outstanding Communication. ",
IF(W79&gt;=2,
"Good Communication. ",
"Needs improvement in Communication. "))) &amp;
IF(X79=0,
"Presence of Mind not attempted. Work on staying alert during discussions.",
IF(X79&gt;=4,
"Outstanding Presence of Mind. ",
IF(X79&gt;=2,
"Good Presence of Mind. ",
"Needs improvement in Presence of Mind. "))) &amp;
IF(Y79=0,
"Presentation not attempted. Enhance your presentation skills.",
IF(Y79&gt;=4,
"Outstanding Presentation. ",
IF(Y79&gt;=2,
"Good Presentation. ",
"Needs improvement in Presentation. "))))</f>
        <v xml:space="preserve">Good Participation. Good Communication. Good Presence of Mind. Good Presentation. </v>
      </c>
      <c r="AD79" s="43">
        <v>0</v>
      </c>
      <c r="AE79" s="11">
        <v>0</v>
      </c>
      <c r="AF79" s="3">
        <v>0</v>
      </c>
      <c r="AG79" s="26">
        <v>0</v>
      </c>
      <c r="AH79" s="19">
        <f>SUM(AD79:AG79)</f>
        <v>0</v>
      </c>
      <c r="AI79" s="73" t="s">
        <v>259</v>
      </c>
      <c r="AJ79" s="76">
        <v>20</v>
      </c>
      <c r="AK79" s="45" t="str">
        <f>IF(AND(AD79=0,AE79=0,AF79=0,AG79=0),
"HR Round not attempted. It's essential to participate in all assessments.",
IF(AD79=0,
"Values not attempted. Reflect on your core values.",
IF(AD79&gt;=4,
"Outstanding understanding of Values. ",
IF(AD79&gt;=2,
"Good understanding of Values. ",
"Needs improvement in understanding Values. "))) &amp;
IF(AE79=0,
"Career Goal not attempted. Define your career objectives clearly.",
IF(AE79&gt;=4,
"Outstanding clarity in Career Goals. ",
IF(AE79&gt;=2,
"Good clarity in Career Goals. ",
"Needs improvement in defining Career Goals. "))) &amp;
IF(AF79=0,
"Behavior Skills not attempted. Work on interpersonal skills.",
IF(AF79&gt;=4,
"Outstanding Behavior Skills. ",
IF(AF79&gt;=2,
"Good Behavior Skills. ",
"Needs improvement in Behavior Skills. "))) &amp;
IF(AG79=0,
"Role Fitment not attempted. Assess your fit for the role.",
IF(AG79&gt;=4,
"Outstanding Role Fitment. ",
IF(AG79&gt;=2,
"Good Role Fitment. ",
"Needs improvement in Role Fitment. "))))</f>
        <v>HR Round not attempted. It's essential to participate in all assessments.</v>
      </c>
      <c r="AL79" s="65">
        <f>SUM(J79,R79,Z79,AH79)</f>
        <v>50.85</v>
      </c>
      <c r="AM79" s="57">
        <v>50.85</v>
      </c>
      <c r="AN79" s="70">
        <v>150</v>
      </c>
      <c r="AO79" s="57">
        <v>54</v>
      </c>
      <c r="AP79" s="52" t="str">
        <f>IF(AND(J79=0,R79=0,Z79=0,AH79=0),
"No participation in any assessment. Please ensure participation in future evaluations.",
IF(J79=0,
"Online Assessment not attempted. Focus on improving basic skills.",
IF(J79&gt;=67.5,
"Outstanding performance in Online Assessment. ",
IF(J79&gt;=45,
"Good performance in Online Assessment. ",
"Needs improvement in Online Assessment. "))) &amp;
IF(R79=0,
"Personal Interview not attempted. Active engagement is essential.",
IF(R79&gt;=16,
"Outstanding performance in Personal Interview. ",
IF(R79&gt;=10,
"Good performance in Personal Interview. ",
"Needs improvement in Personal Interview. "))) &amp;
IF(Z79=0,
"GD Round not attempted. Active participation is crucial.",
IF(Z79&gt;=16,
"Outstanding performance in GD Round. ",
IF(Z79&gt;=10,
"Good performance in GD Round. ",
"Needs improvement in GD Round. "))) &amp;
IF(AH79=0,
"HR Round not attempted. Engage in the assessment process.",
IF(AH79&gt;=16,
"Outstanding performance in HR Round. ",
IF(AH79&gt;=10,
"Good performance in HR Round. ",
"Needs improvement in HR Round."))))</f>
        <v>Needs improvement in Online Assessment. Personal Interview not attempted. Active engagement is essential.Good performance in GD Round. HR Round not attempted. Engage in the assessment process.</v>
      </c>
    </row>
    <row r="80" spans="1:42" ht="15.75" customHeight="1">
      <c r="A80">
        <v>77</v>
      </c>
      <c r="B80" s="39" t="s">
        <v>229</v>
      </c>
      <c r="C80" s="40" t="s">
        <v>230</v>
      </c>
      <c r="D80" s="40">
        <v>8837651272</v>
      </c>
      <c r="E80" s="7" t="s">
        <v>253</v>
      </c>
      <c r="F80" s="7"/>
      <c r="G80" s="7"/>
      <c r="H80" s="7">
        <v>13.4</v>
      </c>
      <c r="I80" s="7">
        <v>37</v>
      </c>
      <c r="J80" s="28">
        <f>SUM(H80:I80)</f>
        <v>50.4</v>
      </c>
      <c r="K80" s="56">
        <v>50.4</v>
      </c>
      <c r="L80" s="28">
        <v>90</v>
      </c>
      <c r="M80" s="28" t="str">
        <f>IF(H80=0,
"Aptitude section not attempted. ",
IF(H80&gt;=33.75,
"Outstanding performance in Aptitude. ",
IF(H80&gt;=22.5,
"Good performance in Aptitude. ",
"Needs improvement in Aptitude. "))) &amp;
IF(I80=0,
" General MBA Questions section not attempted. ",
IF(I80&gt;=33.75,
" Outstanding performance in General MBA Questions. ",
IF(I80&gt;=22.5,
" Good performance in General MBA Questions. ",
" Needs improvement in General MBA Questions. ")))</f>
        <v xml:space="preserve">Needs improvement in Aptitude.  Outstanding performance in General MBA Questions. </v>
      </c>
      <c r="N80" s="11">
        <v>0</v>
      </c>
      <c r="O80" s="11">
        <v>0</v>
      </c>
      <c r="P80" s="11">
        <v>0</v>
      </c>
      <c r="Q80" s="11">
        <v>0</v>
      </c>
      <c r="R80" s="41">
        <f>SUM(N80:Q80)</f>
        <v>0</v>
      </c>
      <c r="S80" s="60" t="s">
        <v>259</v>
      </c>
      <c r="T80" s="41">
        <v>20</v>
      </c>
      <c r="U80" s="45" t="str">
        <f>IF(AND(N80=0,O80=0,P80=0,Q80=0),
"Personal Interview not attempted. Please ensure participation next time.",
IF(N80=0,
"Self Expression not attempted. Focus on articulating thoughts clearly.",
IF(N80&gt;=4,
"Outstanding Self Expression. ",
IF(N80&gt;=2,
"Good Self Expression. ",
"Needs improvement in Self Expression. "))) &amp;
IF(O80=0,
"Domain Knowledge not attempted. Focus on relevant topics.",
IF(O80&gt;=4,
"Outstanding performance in Domain Knowledge. ",
IF(O80&gt;=2,
"Good performance in Domain Knowledge. ",
"Needs improvement in Domain Knowledge. "))) &amp;
IF(P80=0,
"Thought Process not attempted. Work on organizing your thoughts.",
IF(P80&gt;=4,
"Outstanding Thought Process. ",
IF(P80&gt;=2,
"Good Thought Process. ",
"Needs improvement in Thought Process. "))) &amp;
IF(Q80=0,
"Problem Solving Skills not attempted. Focus on practice.",
IF(Q80&gt;=4,
"Outstanding Problem Solving Skills. ",
IF(Q80&gt;=2,
"Good Problem Solving Skills. ",
"Needs improvement in Problem Solving Skills. "))))</f>
        <v>Personal Interview not attempted. Please ensure participation next time.</v>
      </c>
      <c r="V80" s="43">
        <v>0</v>
      </c>
      <c r="W80" s="11">
        <v>0</v>
      </c>
      <c r="X80" s="3">
        <v>0</v>
      </c>
      <c r="Y80" s="26">
        <v>0</v>
      </c>
      <c r="Z80" s="3">
        <f>SUM(V80:Y80)</f>
        <v>0</v>
      </c>
      <c r="AA80" s="64" t="s">
        <v>259</v>
      </c>
      <c r="AB80" s="69">
        <v>20</v>
      </c>
      <c r="AC80" s="7" t="str">
        <f>IF(AND(V80=0,W80=0,X80=0,Y80=0),
"GD Round not attempted. Active participation is crucial.",
IF(V80=0,
"Participation not attempted. Engage more in discussions.",
IF(V80&gt;=4,
"Outstanding Participation. ",
IF(V80&gt;=2,
"Good Participation. ",
"Needs improvement in Participation. "))) &amp;
IF(W80=0,
"Communication not attempted. Focus on expressing ideas clearly.",
IF(W80&gt;=4,
"Outstanding Communication. ",
IF(W80&gt;=2,
"Good Communication. ",
"Needs improvement in Communication. "))) &amp;
IF(X80=0,
"Presence of Mind not attempted. Work on staying alert during discussions.",
IF(X80&gt;=4,
"Outstanding Presence of Mind. ",
IF(X80&gt;=2,
"Good Presence of Mind. ",
"Needs improvement in Presence of Mind. "))) &amp;
IF(Y80=0,
"Presentation not attempted. Enhance your presentation skills.",
IF(Y80&gt;=4,
"Outstanding Presentation. ",
IF(Y80&gt;=2,
"Good Presentation. ",
"Needs improvement in Presentation. "))))</f>
        <v>GD Round not attempted. Active participation is crucial.</v>
      </c>
      <c r="AD80" s="43">
        <v>0</v>
      </c>
      <c r="AE80" s="11">
        <v>0</v>
      </c>
      <c r="AF80" s="90">
        <v>0</v>
      </c>
      <c r="AG80" s="26">
        <v>0</v>
      </c>
      <c r="AH80" s="19">
        <f>SUM(AD80:AG80)</f>
        <v>0</v>
      </c>
      <c r="AI80" s="73" t="s">
        <v>259</v>
      </c>
      <c r="AJ80" s="76">
        <v>20</v>
      </c>
      <c r="AK80" s="45" t="str">
        <f>IF(AND(AD80=0,AE80=0,AF80=0,AG80=0),
"HR Round not attempted. It's essential to participate in all assessments.",
IF(AD80=0,
"Values not attempted. Reflect on your core values.",
IF(AD80&gt;=4,
"Outstanding understanding of Values. ",
IF(AD80&gt;=2,
"Good understanding of Values. ",
"Needs improvement in understanding Values. "))) &amp;
IF(AE80=0,
"Career Goal not attempted. Define your career objectives clearly.",
IF(AE80&gt;=4,
"Outstanding clarity in Career Goals. ",
IF(AE80&gt;=2,
"Good clarity in Career Goals. ",
"Needs improvement in defining Career Goals. "))) &amp;
IF(AF80=0,
"Behavior Skills not attempted. Work on interpersonal skills.",
IF(AF80&gt;=4,
"Outstanding Behavior Skills. ",
IF(AF80&gt;=2,
"Good Behavior Skills. ",
"Needs improvement in Behavior Skills. "))) &amp;
IF(AG80=0,
"Role Fitment not attempted. Assess your fit for the role.",
IF(AG80&gt;=4,
"Outstanding Role Fitment. ",
IF(AG80&gt;=2,
"Good Role Fitment. ",
"Needs improvement in Role Fitment. "))))</f>
        <v>HR Round not attempted. It's essential to participate in all assessments.</v>
      </c>
      <c r="AL80" s="65">
        <f>SUM(J80,R80,Z80,AH80)</f>
        <v>50.4</v>
      </c>
      <c r="AM80" s="57">
        <v>50.4</v>
      </c>
      <c r="AN80" s="70">
        <v>150</v>
      </c>
      <c r="AO80" s="57">
        <v>55</v>
      </c>
      <c r="AP80" s="52" t="str">
        <f>IF(AND(J80=0,R80=0,Z80=0,AH80=0),
"No participation in any assessment. Please ensure participation in future evaluations.",
IF(J80=0,
"Online Assessment not attempted. Focus on improving basic skills.",
IF(J80&gt;=67.5,
"Outstanding performance in Online Assessment. ",
IF(J80&gt;=45,
"Good performance in Online Assessment. ",
"Needs improvement in Online Assessment. "))) &amp;
IF(R80=0,
"Personal Interview not attempted. Active engagement is essential.",
IF(R80&gt;=16,
"Outstanding performance in Personal Interview. ",
IF(R80&gt;=10,
"Good performance in Personal Interview. ",
"Needs improvement in Personal Interview. "))) &amp;
IF(Z80=0,
"GD Round not attempted. Active participation is crucial.",
IF(Z80&gt;=16,
"Outstanding performance in GD Round. ",
IF(Z80&gt;=10,
"Good performance in GD Round. ",
"Needs improvement in GD Round. "))) &amp;
IF(AH80=0,
"HR Round not attempted. Engage in the assessment process.",
IF(AH80&gt;=16,
"Outstanding performance in HR Round. ",
IF(AH80&gt;=10,
"Good performance in HR Round. ",
"Needs improvement in HR Round."))))</f>
        <v>Good performance in Online Assessment. Personal Interview not attempted. Active engagement is essential.GD Round not attempted. Active participation is crucial.HR Round not attempted. Engage in the assessment process.</v>
      </c>
    </row>
    <row r="81" spans="1:42" ht="15.75" customHeight="1">
      <c r="A81">
        <v>78</v>
      </c>
      <c r="B81" s="39" t="s">
        <v>148</v>
      </c>
      <c r="C81" s="40" t="s">
        <v>149</v>
      </c>
      <c r="D81" s="40">
        <v>7973394671</v>
      </c>
      <c r="E81" s="7" t="s">
        <v>253</v>
      </c>
      <c r="F81" s="7"/>
      <c r="G81" s="7"/>
      <c r="H81" s="7">
        <v>11.1</v>
      </c>
      <c r="I81" s="7">
        <v>19</v>
      </c>
      <c r="J81" s="28">
        <f>SUM(H81:I81)</f>
        <v>30.1</v>
      </c>
      <c r="K81" s="56">
        <v>30.1</v>
      </c>
      <c r="L81" s="28">
        <v>90</v>
      </c>
      <c r="M81" s="28" t="str">
        <f>IF(H81=0,
"Aptitude section not attempted. ",
IF(H81&gt;=33.75,
"Outstanding performance in Aptitude. ",
IF(H81&gt;=22.5,
"Good performance in Aptitude. ",
"Needs improvement in Aptitude. "))) &amp;
IF(I81=0,
" General MBA Questions section not attempted. ",
IF(I81&gt;=33.75,
" Outstanding performance in General MBA Questions. ",
IF(I81&gt;=22.5,
" Good performance in General MBA Questions. ",
" Needs improvement in General MBA Questions. ")))</f>
        <v xml:space="preserve">Needs improvement in Aptitude.  Needs improvement in General MBA Questions. </v>
      </c>
      <c r="N81" s="11">
        <v>0</v>
      </c>
      <c r="O81" s="11">
        <v>0</v>
      </c>
      <c r="P81" s="11">
        <v>0</v>
      </c>
      <c r="Q81" s="11">
        <v>0</v>
      </c>
      <c r="R81" s="41">
        <f>SUM(N81:Q81)</f>
        <v>0</v>
      </c>
      <c r="S81" s="60" t="s">
        <v>259</v>
      </c>
      <c r="T81" s="41">
        <v>20</v>
      </c>
      <c r="U81" s="45" t="str">
        <f>IF(AND(N81=0,O81=0,P81=0,Q81=0),
"Personal Interview not attempted. Please ensure participation next time.",
IF(N81=0,
"Self Expression not attempted. Focus on articulating thoughts clearly.",
IF(N81&gt;=4,
"Outstanding Self Expression. ",
IF(N81&gt;=2,
"Good Self Expression. ",
"Needs improvement in Self Expression. "))) &amp;
IF(O81=0,
"Domain Knowledge not attempted. Focus on relevant topics.",
IF(O81&gt;=4,
"Outstanding performance in Domain Knowledge. ",
IF(O81&gt;=2,
"Good performance in Domain Knowledge. ",
"Needs improvement in Domain Knowledge. "))) &amp;
IF(P81=0,
"Thought Process not attempted. Work on organizing your thoughts.",
IF(P81&gt;=4,
"Outstanding Thought Process. ",
IF(P81&gt;=2,
"Good Thought Process. ",
"Needs improvement in Thought Process. "))) &amp;
IF(Q81=0,
"Problem Solving Skills not attempted. Focus on practice.",
IF(Q81&gt;=4,
"Outstanding Problem Solving Skills. ",
IF(Q81&gt;=2,
"Good Problem Solving Skills. ",
"Needs improvement in Problem Solving Skills. "))))</f>
        <v>Personal Interview not attempted. Please ensure participation next time.</v>
      </c>
      <c r="V81" s="43">
        <v>3</v>
      </c>
      <c r="W81" s="11">
        <v>2</v>
      </c>
      <c r="X81" s="3">
        <v>2</v>
      </c>
      <c r="Y81" s="26">
        <v>2</v>
      </c>
      <c r="Z81" s="3">
        <f>SUM(V81:Y81)</f>
        <v>9</v>
      </c>
      <c r="AA81" s="57">
        <v>9</v>
      </c>
      <c r="AB81" s="69">
        <v>20</v>
      </c>
      <c r="AC81" s="7" t="str">
        <f>IF(AND(V81=0,W81=0,X81=0,Y81=0),
"GD Round not attempted. Active participation is crucial.",
IF(V81=0,
"Participation not attempted. Engage more in discussions.",
IF(V81&gt;=4,
"Outstanding Participation. ",
IF(V81&gt;=2,
"Good Participation. ",
"Needs improvement in Participation. "))) &amp;
IF(W81=0,
"Communication not attempted. Focus on expressing ideas clearly.",
IF(W81&gt;=4,
"Outstanding Communication. ",
IF(W81&gt;=2,
"Good Communication. ",
"Needs improvement in Communication. "))) &amp;
IF(X81=0,
"Presence of Mind not attempted. Work on staying alert during discussions.",
IF(X81&gt;=4,
"Outstanding Presence of Mind. ",
IF(X81&gt;=2,
"Good Presence of Mind. ",
"Needs improvement in Presence of Mind. "))) &amp;
IF(Y81=0,
"Presentation not attempted. Enhance your presentation skills.",
IF(Y81&gt;=4,
"Outstanding Presentation. ",
IF(Y81&gt;=2,
"Good Presentation. ",
"Needs improvement in Presentation. "))))</f>
        <v xml:space="preserve">Good Participation. Good Communication. Good Presence of Mind. Good Presentation. </v>
      </c>
      <c r="AD81" s="46">
        <v>2</v>
      </c>
      <c r="AE81" s="7">
        <v>3.5</v>
      </c>
      <c r="AF81" s="87">
        <v>2</v>
      </c>
      <c r="AG81" s="26">
        <v>3</v>
      </c>
      <c r="AH81" s="19">
        <f>SUM(AD81:AG81)</f>
        <v>10.5</v>
      </c>
      <c r="AI81" s="73">
        <v>10.5</v>
      </c>
      <c r="AJ81" s="76">
        <v>20</v>
      </c>
      <c r="AK81" s="45" t="str">
        <f>IF(AND(AD81=0,AE81=0,AF81=0,AG81=0),
"HR Round not attempted. It's essential to participate in all assessments.",
IF(AD81=0,
"Values not attempted. Reflect on your core values.",
IF(AD81&gt;=4,
"Outstanding understanding of Values. ",
IF(AD81&gt;=2,
"Good understanding of Values. ",
"Needs improvement in understanding Values. "))) &amp;
IF(AE81=0,
"Career Goal not attempted. Define your career objectives clearly.",
IF(AE81&gt;=4,
"Outstanding clarity in Career Goals. ",
IF(AE81&gt;=2,
"Good clarity in Career Goals. ",
"Needs improvement in defining Career Goals. "))) &amp;
IF(AF81=0,
"Behavior Skills not attempted. Work on interpersonal skills.",
IF(AF81&gt;=4,
"Outstanding Behavior Skills. ",
IF(AF81&gt;=2,
"Good Behavior Skills. ",
"Needs improvement in Behavior Skills. "))) &amp;
IF(AG81=0,
"Role Fitment not attempted. Assess your fit for the role.",
IF(AG81&gt;=4,
"Outstanding Role Fitment. ",
IF(AG81&gt;=2,
"Good Role Fitment. ",
"Needs improvement in Role Fitment. "))))</f>
        <v xml:space="preserve">Good understanding of Values. Good clarity in Career Goals. Good Behavior Skills. Good Role Fitment. </v>
      </c>
      <c r="AL81" s="65">
        <f>SUM(J81,R81,Z81,AH81)</f>
        <v>49.6</v>
      </c>
      <c r="AM81" s="57">
        <v>49.6</v>
      </c>
      <c r="AN81" s="70">
        <v>150</v>
      </c>
      <c r="AO81" s="57">
        <v>58</v>
      </c>
      <c r="AP81" s="52" t="str">
        <f>IF(AND(J81=0,R81=0,Z81=0,AH81=0),
"No participation in any assessment. Please ensure participation in future evaluations.",
IF(J81=0,
"Online Assessment not attempted. Focus on improving basic skills.",
IF(J81&gt;=67.5,
"Outstanding performance in Online Assessment. ",
IF(J81&gt;=45,
"Good performance in Online Assessment. ",
"Needs improvement in Online Assessment. "))) &amp;
IF(R81=0,
"Personal Interview not attempted. Active engagement is essential.",
IF(R81&gt;=16,
"Outstanding performance in Personal Interview. ",
IF(R81&gt;=10,
"Good performance in Personal Interview. ",
"Needs improvement in Personal Interview. "))) &amp;
IF(Z81=0,
"GD Round not attempted. Active participation is crucial.",
IF(Z81&gt;=16,
"Outstanding performance in GD Round. ",
IF(Z81&gt;=10,
"Good performance in GD Round. ",
"Needs improvement in GD Round. "))) &amp;
IF(AH81=0,
"HR Round not attempted. Engage in the assessment process.",
IF(AH81&gt;=16,
"Outstanding performance in HR Round. ",
IF(AH81&gt;=10,
"Good performance in HR Round. ",
"Needs improvement in HR Round."))))</f>
        <v xml:space="preserve">Needs improvement in Online Assessment. Personal Interview not attempted. Active engagement is essential.Needs improvement in GD Round. Good performance in HR Round. </v>
      </c>
    </row>
    <row r="82" spans="1:42" ht="15.75" customHeight="1">
      <c r="A82">
        <v>79</v>
      </c>
      <c r="B82" s="39" t="s">
        <v>207</v>
      </c>
      <c r="C82" s="40" t="s">
        <v>208</v>
      </c>
      <c r="D82" s="40">
        <v>9667697471</v>
      </c>
      <c r="E82" s="7" t="s">
        <v>253</v>
      </c>
      <c r="F82" s="7"/>
      <c r="G82" s="7"/>
      <c r="H82" s="7">
        <v>8.25</v>
      </c>
      <c r="I82" s="7">
        <v>15</v>
      </c>
      <c r="J82" s="28">
        <f>SUM(H82:I82)</f>
        <v>23.25</v>
      </c>
      <c r="K82" s="56">
        <v>23.25</v>
      </c>
      <c r="L82" s="28">
        <v>90</v>
      </c>
      <c r="M82" s="28" t="str">
        <f>IF(H82=0,
"Aptitude section not attempted. ",
IF(H82&gt;=33.75,
"Outstanding performance in Aptitude. ",
IF(H82&gt;=22.5,
"Good performance in Aptitude. ",
"Needs improvement in Aptitude. "))) &amp;
IF(I82=0,
" General MBA Questions section not attempted. ",
IF(I82&gt;=33.75,
" Outstanding performance in General MBA Questions. ",
IF(I82&gt;=22.5,
" Good performance in General MBA Questions. ",
" Needs improvement in General MBA Questions. ")))</f>
        <v xml:space="preserve">Needs improvement in Aptitude.  Needs improvement in General MBA Questions. </v>
      </c>
      <c r="N82" s="7">
        <v>3</v>
      </c>
      <c r="O82" s="7">
        <v>2</v>
      </c>
      <c r="P82" s="7">
        <v>3</v>
      </c>
      <c r="Q82" s="7">
        <v>3</v>
      </c>
      <c r="R82" s="41">
        <f>SUM(N82:Q82)</f>
        <v>11</v>
      </c>
      <c r="S82" s="60">
        <v>11</v>
      </c>
      <c r="T82" s="41">
        <v>20</v>
      </c>
      <c r="U82" s="45" t="str">
        <f>IF(AND(N82=0,O82=0,P82=0,Q82=0),
"Personal Interview not attempted. Please ensure participation next time.",
IF(N82=0,
"Self Expression not attempted. Focus on articulating thoughts clearly.",
IF(N82&gt;=4,
"Outstanding Self Expression. ",
IF(N82&gt;=2,
"Good Self Expression. ",
"Needs improvement in Self Expression. "))) &amp;
IF(O82=0,
"Domain Knowledge not attempted. Focus on relevant topics.",
IF(O82&gt;=4,
"Outstanding performance in Domain Knowledge. ",
IF(O82&gt;=2,
"Good performance in Domain Knowledge. ",
"Needs improvement in Domain Knowledge. "))) &amp;
IF(P82=0,
"Thought Process not attempted. Work on organizing your thoughts.",
IF(P82&gt;=4,
"Outstanding Thought Process. ",
IF(P82&gt;=2,
"Good Thought Process. ",
"Needs improvement in Thought Process. "))) &amp;
IF(Q82=0,
"Problem Solving Skills not attempted. Focus on practice.",
IF(Q82&gt;=4,
"Outstanding Problem Solving Skills. ",
IF(Q82&gt;=2,
"Good Problem Solving Skills. ",
"Needs improvement in Problem Solving Skills. "))))</f>
        <v xml:space="preserve">Good Self Expression. Good performance in Domain Knowledge. Good Thought Process. Good Problem Solving Skills. </v>
      </c>
      <c r="V82" s="43">
        <v>4</v>
      </c>
      <c r="W82" s="11">
        <v>4</v>
      </c>
      <c r="X82" s="3">
        <v>4</v>
      </c>
      <c r="Y82" s="87">
        <v>3</v>
      </c>
      <c r="Z82" s="3">
        <f>SUM(V82:Y82)</f>
        <v>15</v>
      </c>
      <c r="AA82" s="57">
        <v>15</v>
      </c>
      <c r="AB82" s="69">
        <v>20</v>
      </c>
      <c r="AC82" s="7" t="str">
        <f>IF(AND(V82=0,W82=0,X82=0,Y82=0),
"GD Round not attempted. Active participation is crucial.",
IF(V82=0,
"Participation not attempted. Engage more in discussions.",
IF(V82&gt;=4,
"Outstanding Participation. ",
IF(V82&gt;=2,
"Good Participation. ",
"Needs improvement in Participation. "))) &amp;
IF(W82=0,
"Communication not attempted. Focus on expressing ideas clearly.",
IF(W82&gt;=4,
"Outstanding Communication. ",
IF(W82&gt;=2,
"Good Communication. ",
"Needs improvement in Communication. "))) &amp;
IF(X82=0,
"Presence of Mind not attempted. Work on staying alert during discussions.",
IF(X82&gt;=4,
"Outstanding Presence of Mind. ",
IF(X82&gt;=2,
"Good Presence of Mind. ",
"Needs improvement in Presence of Mind. "))) &amp;
IF(Y82=0,
"Presentation not attempted. Enhance your presentation skills.",
IF(Y82&gt;=4,
"Outstanding Presentation. ",
IF(Y82&gt;=2,
"Good Presentation. ",
"Needs improvement in Presentation. "))))</f>
        <v xml:space="preserve">Outstanding Participation. Outstanding Communication. Outstanding Presence of Mind. Good Presentation. </v>
      </c>
      <c r="AD82" s="43">
        <v>0</v>
      </c>
      <c r="AE82" s="11">
        <v>0</v>
      </c>
      <c r="AF82" s="90">
        <v>0</v>
      </c>
      <c r="AG82" s="26">
        <v>0</v>
      </c>
      <c r="AH82" s="19">
        <f>SUM(AD82:AG82)</f>
        <v>0</v>
      </c>
      <c r="AI82" s="73" t="s">
        <v>259</v>
      </c>
      <c r="AJ82" s="76">
        <v>20</v>
      </c>
      <c r="AK82" s="45" t="str">
        <f>IF(AND(AD82=0,AE82=0,AF82=0,AG82=0),
"HR Round not attempted. It's essential to participate in all assessments.",
IF(AD82=0,
"Values not attempted. Reflect on your core values.",
IF(AD82&gt;=4,
"Outstanding understanding of Values. ",
IF(AD82&gt;=2,
"Good understanding of Values. ",
"Needs improvement in understanding Values. "))) &amp;
IF(AE82=0,
"Career Goal not attempted. Define your career objectives clearly.",
IF(AE82&gt;=4,
"Outstanding clarity in Career Goals. ",
IF(AE82&gt;=2,
"Good clarity in Career Goals. ",
"Needs improvement in defining Career Goals. "))) &amp;
IF(AF82=0,
"Behavior Skills not attempted. Work on interpersonal skills.",
IF(AF82&gt;=4,
"Outstanding Behavior Skills. ",
IF(AF82&gt;=2,
"Good Behavior Skills. ",
"Needs improvement in Behavior Skills. "))) &amp;
IF(AG82=0,
"Role Fitment not attempted. Assess your fit for the role.",
IF(AG82&gt;=4,
"Outstanding Role Fitment. ",
IF(AG82&gt;=2,
"Good Role Fitment. ",
"Needs improvement in Role Fitment. "))))</f>
        <v>HR Round not attempted. It's essential to participate in all assessments.</v>
      </c>
      <c r="AL82" s="65">
        <f>SUM(J82,R82,Z82,AH82)</f>
        <v>49.25</v>
      </c>
      <c r="AM82" s="57">
        <v>49.25</v>
      </c>
      <c r="AN82" s="70">
        <v>150</v>
      </c>
      <c r="AO82" s="57">
        <v>60</v>
      </c>
      <c r="AP82" s="52" t="str">
        <f>IF(AND(J82=0,R82=0,Z82=0,AH82=0),
"No participation in any assessment. Please ensure participation in future evaluations.",
IF(J82=0,
"Online Assessment not attempted. Focus on improving basic skills.",
IF(J82&gt;=67.5,
"Outstanding performance in Online Assessment. ",
IF(J82&gt;=45,
"Good performance in Online Assessment. ",
"Needs improvement in Online Assessment. "))) &amp;
IF(R82=0,
"Personal Interview not attempted. Active engagement is essential.",
IF(R82&gt;=16,
"Outstanding performance in Personal Interview. ",
IF(R82&gt;=10,
"Good performance in Personal Interview. ",
"Needs improvement in Personal Interview. "))) &amp;
IF(Z82=0,
"GD Round not attempted. Active participation is crucial.",
IF(Z82&gt;=16,
"Outstanding performance in GD Round. ",
IF(Z82&gt;=10,
"Good performance in GD Round. ",
"Needs improvement in GD Round. "))) &amp;
IF(AH82=0,
"HR Round not attempted. Engage in the assessment process.",
IF(AH82&gt;=16,
"Outstanding performance in HR Round. ",
IF(AH82&gt;=10,
"Good performance in HR Round. ",
"Needs improvement in HR Round."))))</f>
        <v>Needs improvement in Online Assessment. Good performance in Personal Interview. Good performance in GD Round. HR Round not attempted. Engage in the assessment process.</v>
      </c>
    </row>
    <row r="83" spans="1:42" ht="15.75" customHeight="1">
      <c r="A83">
        <v>80</v>
      </c>
      <c r="B83" s="39" t="s">
        <v>55</v>
      </c>
      <c r="C83" s="40" t="s">
        <v>56</v>
      </c>
      <c r="D83" s="40">
        <v>9129000655</v>
      </c>
      <c r="E83" s="7" t="s">
        <v>253</v>
      </c>
      <c r="F83" s="8"/>
      <c r="G83" s="8"/>
      <c r="H83" s="7">
        <v>10.45</v>
      </c>
      <c r="I83" s="7">
        <v>20</v>
      </c>
      <c r="J83" s="28">
        <f>SUM(H83:I83)</f>
        <v>30.45</v>
      </c>
      <c r="K83" s="56">
        <v>30.45</v>
      </c>
      <c r="L83" s="28">
        <v>90</v>
      </c>
      <c r="M83" s="28" t="str">
        <f>IF(H83=0,
"Aptitude section not attempted. ",
IF(H83&gt;=33.75,
"Outstanding performance in Aptitude. ",
IF(H83&gt;=22.5,
"Good performance in Aptitude. ",
"Needs improvement in Aptitude. "))) &amp;
IF(I83=0,
" General MBA Questions section not attempted. ",
IF(I83&gt;=33.75,
" Outstanding performance in General MBA Questions. ",
IF(I83&gt;=22.5,
" Good performance in General MBA Questions. ",
" Needs improvement in General MBA Questions. ")))</f>
        <v xml:space="preserve">Needs improvement in Aptitude.  Needs improvement in General MBA Questions. </v>
      </c>
      <c r="N83" s="11">
        <v>2</v>
      </c>
      <c r="O83" s="11">
        <v>1</v>
      </c>
      <c r="P83" s="11">
        <v>2</v>
      </c>
      <c r="Q83" s="11">
        <v>2</v>
      </c>
      <c r="R83" s="41">
        <f>SUM(N83:Q83)</f>
        <v>7</v>
      </c>
      <c r="S83" s="60">
        <v>7</v>
      </c>
      <c r="T83" s="41">
        <v>20</v>
      </c>
      <c r="U83" s="45" t="str">
        <f>IF(AND(N83=0,O83=0,P83=0,Q83=0),
"Personal Interview not attempted. Please ensure participation next time.",
IF(N83=0,
"Self Expression not attempted. Focus on articulating thoughts clearly.",
IF(N83&gt;=4,
"Outstanding Self Expression. ",
IF(N83&gt;=2,
"Good Self Expression. ",
"Needs improvement in Self Expression. "))) &amp;
IF(O83=0,
"Domain Knowledge not attempted. Focus on relevant topics.",
IF(O83&gt;=4,
"Outstanding performance in Domain Knowledge. ",
IF(O83&gt;=2,
"Good performance in Domain Knowledge. ",
"Needs improvement in Domain Knowledge. "))) &amp;
IF(P83=0,
"Thought Process not attempted. Work on organizing your thoughts.",
IF(P83&gt;=4,
"Outstanding Thought Process. ",
IF(P83&gt;=2,
"Good Thought Process. ",
"Needs improvement in Thought Process. "))) &amp;
IF(Q83=0,
"Problem Solving Skills not attempted. Focus on practice.",
IF(Q83&gt;=4,
"Outstanding Problem Solving Skills. ",
IF(Q83&gt;=2,
"Good Problem Solving Skills. ",
"Needs improvement in Problem Solving Skills. "))))</f>
        <v xml:space="preserve">Good Self Expression. Needs improvement in Domain Knowledge. Good Thought Process. Good Problem Solving Skills. </v>
      </c>
      <c r="V83" s="43">
        <v>3</v>
      </c>
      <c r="W83" s="11">
        <v>2</v>
      </c>
      <c r="X83" s="3">
        <v>2</v>
      </c>
      <c r="Y83" s="87">
        <v>2</v>
      </c>
      <c r="Z83" s="3">
        <f>SUM(V83:Y83)</f>
        <v>9</v>
      </c>
      <c r="AA83" s="57">
        <v>9</v>
      </c>
      <c r="AB83" s="69">
        <v>20</v>
      </c>
      <c r="AC83" s="7" t="str">
        <f>IF(AND(V83=0,W83=0,X83=0,Y83=0),
"GD Round not attempted. Active participation is crucial.",
IF(V83=0,
"Participation not attempted. Engage more in discussions.",
IF(V83&gt;=4,
"Outstanding Participation. ",
IF(V83&gt;=2,
"Good Participation. ",
"Needs improvement in Participation. "))) &amp;
IF(W83=0,
"Communication not attempted. Focus on expressing ideas clearly.",
IF(W83&gt;=4,
"Outstanding Communication. ",
IF(W83&gt;=2,
"Good Communication. ",
"Needs improvement in Communication. "))) &amp;
IF(X83=0,
"Presence of Mind not attempted. Work on staying alert during discussions.",
IF(X83&gt;=4,
"Outstanding Presence of Mind. ",
IF(X83&gt;=2,
"Good Presence of Mind. ",
"Needs improvement in Presence of Mind. "))) &amp;
IF(Y83=0,
"Presentation not attempted. Enhance your presentation skills.",
IF(Y83&gt;=4,
"Outstanding Presentation. ",
IF(Y83&gt;=2,
"Good Presentation. ",
"Needs improvement in Presentation. "))))</f>
        <v xml:space="preserve">Good Participation. Good Communication. Good Presence of Mind. Good Presentation. </v>
      </c>
      <c r="AD83" s="43">
        <v>0</v>
      </c>
      <c r="AE83" s="11">
        <v>0</v>
      </c>
      <c r="AF83" s="3">
        <v>0</v>
      </c>
      <c r="AG83" s="26">
        <v>0</v>
      </c>
      <c r="AH83" s="19">
        <f>SUM(AD83:AG83)</f>
        <v>0</v>
      </c>
      <c r="AI83" s="73" t="s">
        <v>259</v>
      </c>
      <c r="AJ83" s="76">
        <v>20</v>
      </c>
      <c r="AK83" s="45" t="str">
        <f>IF(AND(AD83=0,AE83=0,AF83=0,AG83=0),
"HR Round not attempted. It's essential to participate in all assessments.",
IF(AD83=0,
"Values not attempted. Reflect on your core values.",
IF(AD83&gt;=4,
"Outstanding understanding of Values. ",
IF(AD83&gt;=2,
"Good understanding of Values. ",
"Needs improvement in understanding Values. "))) &amp;
IF(AE83=0,
"Career Goal not attempted. Define your career objectives clearly.",
IF(AE83&gt;=4,
"Outstanding clarity in Career Goals. ",
IF(AE83&gt;=2,
"Good clarity in Career Goals. ",
"Needs improvement in defining Career Goals. "))) &amp;
IF(AF83=0,
"Behavior Skills not attempted. Work on interpersonal skills.",
IF(AF83&gt;=4,
"Outstanding Behavior Skills. ",
IF(AF83&gt;=2,
"Good Behavior Skills. ",
"Needs improvement in Behavior Skills. "))) &amp;
IF(AG83=0,
"Role Fitment not attempted. Assess your fit for the role.",
IF(AG83&gt;=4,
"Outstanding Role Fitment. ",
IF(AG83&gt;=2,
"Good Role Fitment. ",
"Needs improvement in Role Fitment. "))))</f>
        <v>HR Round not attempted. It's essential to participate in all assessments.</v>
      </c>
      <c r="AL83" s="65">
        <f>SUM(J83,R83,Z83,AH83)</f>
        <v>46.45</v>
      </c>
      <c r="AM83" s="57">
        <v>46.45</v>
      </c>
      <c r="AN83" s="70">
        <v>150</v>
      </c>
      <c r="AO83" s="57">
        <v>64</v>
      </c>
      <c r="AP83" s="52" t="str">
        <f>IF(AND(J83=0,R83=0,Z83=0,AH83=0),
"No participation in any assessment. Please ensure participation in future evaluations.",
IF(J83=0,
"Online Assessment not attempted. Focus on improving basic skills.",
IF(J83&gt;=67.5,
"Outstanding performance in Online Assessment. ",
IF(J83&gt;=45,
"Good performance in Online Assessment. ",
"Needs improvement in Online Assessment. "))) &amp;
IF(R83=0,
"Personal Interview not attempted. Active engagement is essential.",
IF(R83&gt;=16,
"Outstanding performance in Personal Interview. ",
IF(R83&gt;=10,
"Good performance in Personal Interview. ",
"Needs improvement in Personal Interview. "))) &amp;
IF(Z83=0,
"GD Round not attempted. Active participation is crucial.",
IF(Z83&gt;=16,
"Outstanding performance in GD Round. ",
IF(Z83&gt;=10,
"Good performance in GD Round. ",
"Needs improvement in GD Round. "))) &amp;
IF(AH83=0,
"HR Round not attempted. Engage in the assessment process.",
IF(AH83&gt;=16,
"Outstanding performance in HR Round. ",
IF(AH83&gt;=10,
"Good performance in HR Round. ",
"Needs improvement in HR Round."))))</f>
        <v>Needs improvement in Online Assessment. Needs improvement in Personal Interview. Needs improvement in GD Round. HR Round not attempted. Engage in the assessment process.</v>
      </c>
    </row>
    <row r="84" spans="1:42" ht="15.75" customHeight="1">
      <c r="A84">
        <v>81</v>
      </c>
      <c r="B84" s="39" t="s">
        <v>90</v>
      </c>
      <c r="C84" s="40" t="s">
        <v>91</v>
      </c>
      <c r="D84" s="40">
        <v>9996594296</v>
      </c>
      <c r="E84" s="7" t="s">
        <v>253</v>
      </c>
      <c r="F84" s="4"/>
      <c r="G84" s="4"/>
      <c r="H84" s="7">
        <v>0</v>
      </c>
      <c r="I84" s="7">
        <v>0</v>
      </c>
      <c r="J84" s="28">
        <f>SUM(H84:I84)</f>
        <v>0</v>
      </c>
      <c r="K84" s="56" t="s">
        <v>259</v>
      </c>
      <c r="L84" s="28">
        <v>90</v>
      </c>
      <c r="M84" s="28" t="str">
        <f>IF(H84=0,
"Aptitude section not attempted. ",
IF(H84&gt;=33.75,
"Outstanding performance in Aptitude. ",
IF(H84&gt;=22.5,
"Good performance in Aptitude. ",
"Needs improvement in Aptitude. "))) &amp;
IF(I84=0,
" General MBA Questions section not attempted. ",
IF(I84&gt;=33.75,
" Outstanding performance in General MBA Questions. ",
IF(I84&gt;=22.5,
" Good performance in General MBA Questions. ",
" Needs improvement in General MBA Questions. ")))</f>
        <v xml:space="preserve">Aptitude section not attempted.  General MBA Questions section not attempted. </v>
      </c>
      <c r="N84" s="11">
        <v>4</v>
      </c>
      <c r="O84" s="11">
        <v>4</v>
      </c>
      <c r="P84" s="11">
        <v>3</v>
      </c>
      <c r="Q84" s="11">
        <v>4</v>
      </c>
      <c r="R84" s="41">
        <f>SUM(N84:Q84)</f>
        <v>15</v>
      </c>
      <c r="S84" s="60">
        <v>15</v>
      </c>
      <c r="T84" s="41">
        <v>20</v>
      </c>
      <c r="U84" s="45" t="str">
        <f>IF(AND(N84=0,O84=0,P84=0,Q84=0),
"Personal Interview not attempted. Please ensure participation next time.",
IF(N84=0,
"Self Expression not attempted. Focus on articulating thoughts clearly.",
IF(N84&gt;=4,
"Outstanding Self Expression. ",
IF(N84&gt;=2,
"Good Self Expression. ",
"Needs improvement in Self Expression. "))) &amp;
IF(O84=0,
"Domain Knowledge not attempted. Focus on relevant topics.",
IF(O84&gt;=4,
"Outstanding performance in Domain Knowledge. ",
IF(O84&gt;=2,
"Good performance in Domain Knowledge. ",
"Needs improvement in Domain Knowledge. "))) &amp;
IF(P84=0,
"Thought Process not attempted. Work on organizing your thoughts.",
IF(P84&gt;=4,
"Outstanding Thought Process. ",
IF(P84&gt;=2,
"Good Thought Process. ",
"Needs improvement in Thought Process. "))) &amp;
IF(Q84=0,
"Problem Solving Skills not attempted. Focus on practice.",
IF(Q84&gt;=4,
"Outstanding Problem Solving Skills. ",
IF(Q84&gt;=2,
"Good Problem Solving Skills. ",
"Needs improvement in Problem Solving Skills. "))))</f>
        <v xml:space="preserve">Outstanding Self Expression. Outstanding performance in Domain Knowledge. Good Thought Process. Outstanding Problem Solving Skills. </v>
      </c>
      <c r="V84" s="43">
        <v>4</v>
      </c>
      <c r="W84" s="11">
        <v>3</v>
      </c>
      <c r="X84" s="3">
        <v>4</v>
      </c>
      <c r="Y84">
        <v>3</v>
      </c>
      <c r="Z84" s="3">
        <f>SUM(V84:Y84)</f>
        <v>14</v>
      </c>
      <c r="AA84" s="57">
        <v>14</v>
      </c>
      <c r="AB84" s="69">
        <v>20</v>
      </c>
      <c r="AC84" s="7" t="str">
        <f>IF(AND(V84=0,W84=0,X84=0,Y84=0),
"GD Round not attempted. Active participation is crucial.",
IF(V84=0,
"Participation not attempted. Engage more in discussions.",
IF(V84&gt;=4,
"Outstanding Participation. ",
IF(V84&gt;=2,
"Good Participation. ",
"Needs improvement in Participation. "))) &amp;
IF(W84=0,
"Communication not attempted. Focus on expressing ideas clearly.",
IF(W84&gt;=4,
"Outstanding Communication. ",
IF(W84&gt;=2,
"Good Communication. ",
"Needs improvement in Communication. "))) &amp;
IF(X84=0,
"Presence of Mind not attempted. Work on staying alert during discussions.",
IF(X84&gt;=4,
"Outstanding Presence of Mind. ",
IF(X84&gt;=2,
"Good Presence of Mind. ",
"Needs improvement in Presence of Mind. "))) &amp;
IF(Y84=0,
"Presentation not attempted. Enhance your presentation skills.",
IF(Y84&gt;=4,
"Outstanding Presentation. ",
IF(Y84&gt;=2,
"Good Presentation. ",
"Needs improvement in Presentation. "))))</f>
        <v xml:space="preserve">Outstanding Participation. Good Communication. Outstanding Presence of Mind. Good Presentation. </v>
      </c>
      <c r="AD84" s="43">
        <v>4</v>
      </c>
      <c r="AE84" s="11">
        <v>4</v>
      </c>
      <c r="AF84" s="90">
        <v>4</v>
      </c>
      <c r="AG84" s="26">
        <v>4</v>
      </c>
      <c r="AH84" s="19">
        <f>SUM(AD84:AG84)</f>
        <v>16</v>
      </c>
      <c r="AI84" s="73">
        <v>16</v>
      </c>
      <c r="AJ84" s="76">
        <v>20</v>
      </c>
      <c r="AK84" s="45" t="str">
        <f>IF(AND(AD84=0,AE84=0,AF84=0,AG84=0),
"HR Round not attempted. It's essential to participate in all assessments.",
IF(AD84=0,
"Values not attempted. Reflect on your core values.",
IF(AD84&gt;=4,
"Outstanding understanding of Values. ",
IF(AD84&gt;=2,
"Good understanding of Values. ",
"Needs improvement in understanding Values. "))) &amp;
IF(AE84=0,
"Career Goal not attempted. Define your career objectives clearly.",
IF(AE84&gt;=4,
"Outstanding clarity in Career Goals. ",
IF(AE84&gt;=2,
"Good clarity in Career Goals. ",
"Needs improvement in defining Career Goals. "))) &amp;
IF(AF84=0,
"Behavior Skills not attempted. Work on interpersonal skills.",
IF(AF84&gt;=4,
"Outstanding Behavior Skills. ",
IF(AF84&gt;=2,
"Good Behavior Skills. ",
"Needs improvement in Behavior Skills. "))) &amp;
IF(AG84=0,
"Role Fitment not attempted. Assess your fit for the role.",
IF(AG84&gt;=4,
"Outstanding Role Fitment. ",
IF(AG84&gt;=2,
"Good Role Fitment. ",
"Needs improvement in Role Fitment. "))))</f>
        <v xml:space="preserve">Outstanding understanding of Values. Outstanding clarity in Career Goals. Outstanding Behavior Skills. Outstanding Role Fitment. </v>
      </c>
      <c r="AL84" s="65">
        <f>SUM(J84,R84,Z84,AH84)</f>
        <v>45</v>
      </c>
      <c r="AM84" s="57">
        <v>45</v>
      </c>
      <c r="AN84" s="70">
        <v>150</v>
      </c>
      <c r="AO84" s="57">
        <v>67</v>
      </c>
      <c r="AP84" s="52" t="str">
        <f>IF(AND(J84=0,R84=0,Z84=0,AH84=0),
"No participation in any assessment. Please ensure participation in future evaluations.",
IF(J84=0,
"Online Assessment not attempted. Focus on improving basic skills.",
IF(J84&gt;=67.5,
"Outstanding performance in Online Assessment. ",
IF(J84&gt;=45,
"Good performance in Online Assessment. ",
"Needs improvement in Online Assessment. "))) &amp;
IF(R84=0,
"Personal Interview not attempted. Active engagement is essential.",
IF(R84&gt;=16,
"Outstanding performance in Personal Interview. ",
IF(R84&gt;=10,
"Good performance in Personal Interview. ",
"Needs improvement in Personal Interview. "))) &amp;
IF(Z84=0,
"GD Round not attempted. Active participation is crucial.",
IF(Z84&gt;=16,
"Outstanding performance in GD Round. ",
IF(Z84&gt;=10,
"Good performance in GD Round. ",
"Needs improvement in GD Round. "))) &amp;
IF(AH84=0,
"HR Round not attempted. Engage in the assessment process.",
IF(AH84&gt;=16,
"Outstanding performance in HR Round. ",
IF(AH84&gt;=10,
"Good performance in HR Round. ",
"Needs improvement in HR Round."))))</f>
        <v xml:space="preserve">Online Assessment not attempted. Focus on improving basic skills.Good performance in Personal Interview. Good performance in GD Round. Outstanding performance in HR Round. </v>
      </c>
    </row>
    <row r="85" spans="1:42" ht="15.75" customHeight="1">
      <c r="A85">
        <v>82</v>
      </c>
      <c r="B85" s="39" t="s">
        <v>67</v>
      </c>
      <c r="C85" s="40" t="s">
        <v>68</v>
      </c>
      <c r="D85" s="40">
        <v>8968000424</v>
      </c>
      <c r="E85" s="7" t="s">
        <v>253</v>
      </c>
      <c r="F85" s="4"/>
      <c r="G85" s="4"/>
      <c r="H85" s="7">
        <v>8</v>
      </c>
      <c r="I85" s="7">
        <v>25</v>
      </c>
      <c r="J85" s="28">
        <f>SUM(H85:I85)</f>
        <v>33</v>
      </c>
      <c r="K85" s="56">
        <v>33</v>
      </c>
      <c r="L85" s="28">
        <v>90</v>
      </c>
      <c r="M85" s="28" t="str">
        <f>IF(H85=0,
"Aptitude section not attempted. ",
IF(H85&gt;=33.75,
"Outstanding performance in Aptitude. ",
IF(H85&gt;=22.5,
"Good performance in Aptitude. ",
"Needs improvement in Aptitude. "))) &amp;
IF(I85=0,
" General MBA Questions section not attempted. ",
IF(I85&gt;=33.75,
" Outstanding performance in General MBA Questions. ",
IF(I85&gt;=22.5,
" Good performance in General MBA Questions. ",
" Needs improvement in General MBA Questions. ")))</f>
        <v xml:space="preserve">Needs improvement in Aptitude.  Good performance in General MBA Questions. </v>
      </c>
      <c r="N85" s="11">
        <v>0</v>
      </c>
      <c r="O85" s="11">
        <v>0</v>
      </c>
      <c r="P85" s="11">
        <v>0</v>
      </c>
      <c r="Q85" s="11">
        <v>0</v>
      </c>
      <c r="R85" s="41">
        <f>SUM(N85:Q85)</f>
        <v>0</v>
      </c>
      <c r="S85" s="60" t="s">
        <v>259</v>
      </c>
      <c r="T85" s="41">
        <v>20</v>
      </c>
      <c r="U85" s="45" t="str">
        <f>IF(AND(N85=0,O85=0,P85=0,Q85=0),
"Personal Interview not attempted. Please ensure participation next time.",
IF(N85=0,
"Self Expression not attempted. Focus on articulating thoughts clearly.",
IF(N85&gt;=4,
"Outstanding Self Expression. ",
IF(N85&gt;=2,
"Good Self Expression. ",
"Needs improvement in Self Expression. "))) &amp;
IF(O85=0,
"Domain Knowledge not attempted. Focus on relevant topics.",
IF(O85&gt;=4,
"Outstanding performance in Domain Knowledge. ",
IF(O85&gt;=2,
"Good performance in Domain Knowledge. ",
"Needs improvement in Domain Knowledge. "))) &amp;
IF(P85=0,
"Thought Process not attempted. Work on organizing your thoughts.",
IF(P85&gt;=4,
"Outstanding Thought Process. ",
IF(P85&gt;=2,
"Good Thought Process. ",
"Needs improvement in Thought Process. "))) &amp;
IF(Q85=0,
"Problem Solving Skills not attempted. Focus on practice.",
IF(Q85&gt;=4,
"Outstanding Problem Solving Skills. ",
IF(Q85&gt;=2,
"Good Problem Solving Skills. ",
"Needs improvement in Problem Solving Skills. "))))</f>
        <v>Personal Interview not attempted. Please ensure participation next time.</v>
      </c>
      <c r="V85" s="43">
        <v>2</v>
      </c>
      <c r="W85" s="11">
        <v>2</v>
      </c>
      <c r="X85" s="3">
        <v>2</v>
      </c>
      <c r="Y85" s="87">
        <v>2</v>
      </c>
      <c r="Z85" s="3">
        <f>SUM(V85:Y85)</f>
        <v>8</v>
      </c>
      <c r="AA85" s="57">
        <v>8</v>
      </c>
      <c r="AB85" s="69">
        <v>20</v>
      </c>
      <c r="AC85" s="7" t="str">
        <f>IF(AND(V85=0,W85=0,X85=0,Y85=0),
"GD Round not attempted. Active participation is crucial.",
IF(V85=0,
"Participation not attempted. Engage more in discussions.",
IF(V85&gt;=4,
"Outstanding Participation. ",
IF(V85&gt;=2,
"Good Participation. ",
"Needs improvement in Participation. "))) &amp;
IF(W85=0,
"Communication not attempted. Focus on expressing ideas clearly.",
IF(W85&gt;=4,
"Outstanding Communication. ",
IF(W85&gt;=2,
"Good Communication. ",
"Needs improvement in Communication. "))) &amp;
IF(X85=0,
"Presence of Mind not attempted. Work on staying alert during discussions.",
IF(X85&gt;=4,
"Outstanding Presence of Mind. ",
IF(X85&gt;=2,
"Good Presence of Mind. ",
"Needs improvement in Presence of Mind. "))) &amp;
IF(Y85=0,
"Presentation not attempted. Enhance your presentation skills.",
IF(Y85&gt;=4,
"Outstanding Presentation. ",
IF(Y85&gt;=2,
"Good Presentation. ",
"Needs improvement in Presentation. "))))</f>
        <v xml:space="preserve">Good Participation. Good Communication. Good Presence of Mind. Good Presentation. </v>
      </c>
      <c r="AD85" s="88">
        <v>1</v>
      </c>
      <c r="AE85" s="88">
        <v>1</v>
      </c>
      <c r="AF85" s="88">
        <v>1</v>
      </c>
      <c r="AG85" s="88">
        <v>1</v>
      </c>
      <c r="AH85" s="19">
        <f>SUM(AD85:AG85)</f>
        <v>4</v>
      </c>
      <c r="AI85" s="73">
        <v>4</v>
      </c>
      <c r="AJ85" s="76">
        <v>20</v>
      </c>
      <c r="AK85" s="45" t="str">
        <f>IF(AND(AD85=0,AE85=0,AF85=0,AG85=0),
"HR Round not attempted. It's essential to participate in all assessments.",
IF(AD85=0,
"Values not attempted. Reflect on your core values.",
IF(AD85&gt;=4,
"Outstanding understanding of Values. ",
IF(AD85&gt;=2,
"Good understanding of Values. ",
"Needs improvement in understanding Values. "))) &amp;
IF(AE85=0,
"Career Goal not attempted. Define your career objectives clearly.",
IF(AE85&gt;=4,
"Outstanding clarity in Career Goals. ",
IF(AE85&gt;=2,
"Good clarity in Career Goals. ",
"Needs improvement in defining Career Goals. "))) &amp;
IF(AF85=0,
"Behavior Skills not attempted. Work on interpersonal skills.",
IF(AF85&gt;=4,
"Outstanding Behavior Skills. ",
IF(AF85&gt;=2,
"Good Behavior Skills. ",
"Needs improvement in Behavior Skills. "))) &amp;
IF(AG85=0,
"Role Fitment not attempted. Assess your fit for the role.",
IF(AG85&gt;=4,
"Outstanding Role Fitment. ",
IF(AG85&gt;=2,
"Good Role Fitment. ",
"Needs improvement in Role Fitment. "))))</f>
        <v xml:space="preserve">Needs improvement in understanding Values. Needs improvement in defining Career Goals. Needs improvement in Behavior Skills. Needs improvement in Role Fitment. </v>
      </c>
      <c r="AL85" s="65">
        <f>SUM(J85,R85,Z85,AH85)</f>
        <v>45</v>
      </c>
      <c r="AM85" s="57">
        <v>45</v>
      </c>
      <c r="AN85" s="70">
        <v>150</v>
      </c>
      <c r="AO85" s="57">
        <v>66</v>
      </c>
      <c r="AP85" s="52" t="str">
        <f>IF(AND(J85=0,R85=0,Z85=0,AH85=0),
"No participation in any assessment. Please ensure participation in future evaluations.",
IF(J85=0,
"Online Assessment not attempted. Focus on improving basic skills.",
IF(J85&gt;=67.5,
"Outstanding performance in Online Assessment. ",
IF(J85&gt;=45,
"Good performance in Online Assessment. ",
"Needs improvement in Online Assessment. "))) &amp;
IF(R85=0,
"Personal Interview not attempted. Active engagement is essential.",
IF(R85&gt;=16,
"Outstanding performance in Personal Interview. ",
IF(R85&gt;=10,
"Good performance in Personal Interview. ",
"Needs improvement in Personal Interview. "))) &amp;
IF(Z85=0,
"GD Round not attempted. Active participation is crucial.",
IF(Z85&gt;=16,
"Outstanding performance in GD Round. ",
IF(Z85&gt;=10,
"Good performance in GD Round. ",
"Needs improvement in GD Round. "))) &amp;
IF(AH85=0,
"HR Round not attempted. Engage in the assessment process.",
IF(AH85&gt;=16,
"Outstanding performance in HR Round. ",
IF(AH85&gt;=10,
"Good performance in HR Round. ",
"Needs improvement in HR Round."))))</f>
        <v>Needs improvement in Online Assessment. Personal Interview not attempted. Active engagement is essential.Needs improvement in GD Round. Needs improvement in HR Round.</v>
      </c>
    </row>
    <row r="86" spans="1:42" ht="15.75" customHeight="1">
      <c r="A86">
        <v>83</v>
      </c>
      <c r="B86" s="39" t="s">
        <v>211</v>
      </c>
      <c r="C86" s="40" t="s">
        <v>212</v>
      </c>
      <c r="D86" s="40">
        <v>9070049070</v>
      </c>
      <c r="E86" s="7" t="s">
        <v>253</v>
      </c>
      <c r="F86" s="7"/>
      <c r="G86" s="7"/>
      <c r="H86" s="7">
        <v>10.6</v>
      </c>
      <c r="I86" s="7">
        <v>31</v>
      </c>
      <c r="J86" s="28">
        <f>SUM(H86:I86)</f>
        <v>41.6</v>
      </c>
      <c r="K86" s="56">
        <v>41.6</v>
      </c>
      <c r="L86" s="28">
        <v>90</v>
      </c>
      <c r="M86" s="28" t="str">
        <f>IF(H86=0,
"Aptitude section not attempted. ",
IF(H86&gt;=33.75,
"Outstanding performance in Aptitude. ",
IF(H86&gt;=22.5,
"Good performance in Aptitude. ",
"Needs improvement in Aptitude. "))) &amp;
IF(I86=0,
" General MBA Questions section not attempted. ",
IF(I86&gt;=33.75,
" Outstanding performance in General MBA Questions. ",
IF(I86&gt;=22.5,
" Good performance in General MBA Questions. ",
" Needs improvement in General MBA Questions. ")))</f>
        <v xml:space="preserve">Needs improvement in Aptitude.  Good performance in General MBA Questions. </v>
      </c>
      <c r="N86" s="11">
        <v>0</v>
      </c>
      <c r="O86" s="11">
        <v>0</v>
      </c>
      <c r="P86" s="11">
        <v>0</v>
      </c>
      <c r="Q86" s="11">
        <v>0</v>
      </c>
      <c r="R86" s="41">
        <f>SUM(N86:Q86)</f>
        <v>0</v>
      </c>
      <c r="S86" s="60" t="s">
        <v>259</v>
      </c>
      <c r="T86" s="41">
        <v>20</v>
      </c>
      <c r="U86" s="45" t="str">
        <f>IF(AND(N86=0,O86=0,P86=0,Q86=0),
"Personal Interview not attempted. Please ensure participation next time.",
IF(N86=0,
"Self Expression not attempted. Focus on articulating thoughts clearly.",
IF(N86&gt;=4,
"Outstanding Self Expression. ",
IF(N86&gt;=2,
"Good Self Expression. ",
"Needs improvement in Self Expression. "))) &amp;
IF(O86=0,
"Domain Knowledge not attempted. Focus on relevant topics.",
IF(O86&gt;=4,
"Outstanding performance in Domain Knowledge. ",
IF(O86&gt;=2,
"Good performance in Domain Knowledge. ",
"Needs improvement in Domain Knowledge. "))) &amp;
IF(P86=0,
"Thought Process not attempted. Work on organizing your thoughts.",
IF(P86&gt;=4,
"Outstanding Thought Process. ",
IF(P86&gt;=2,
"Good Thought Process. ",
"Needs improvement in Thought Process. "))) &amp;
IF(Q86=0,
"Problem Solving Skills not attempted. Focus on practice.",
IF(Q86&gt;=4,
"Outstanding Problem Solving Skills. ",
IF(Q86&gt;=2,
"Good Problem Solving Skills. ",
"Needs improvement in Problem Solving Skills. "))))</f>
        <v>Personal Interview not attempted. Please ensure participation next time.</v>
      </c>
      <c r="V86" s="43">
        <v>0</v>
      </c>
      <c r="W86" s="11">
        <v>0</v>
      </c>
      <c r="X86" s="3">
        <v>0</v>
      </c>
      <c r="Y86">
        <v>0</v>
      </c>
      <c r="Z86" s="3">
        <f>SUM(V86:Y86)</f>
        <v>0</v>
      </c>
      <c r="AA86" s="64" t="s">
        <v>259</v>
      </c>
      <c r="AB86" s="69">
        <v>20</v>
      </c>
      <c r="AC86" s="7" t="str">
        <f>IF(AND(V86=0,W86=0,X86=0,Y86=0),
"GD Round not attempted. Active participation is crucial.",
IF(V86=0,
"Participation not attempted. Engage more in discussions.",
IF(V86&gt;=4,
"Outstanding Participation. ",
IF(V86&gt;=2,
"Good Participation. ",
"Needs improvement in Participation. "))) &amp;
IF(W86=0,
"Communication not attempted. Focus on expressing ideas clearly.",
IF(W86&gt;=4,
"Outstanding Communication. ",
IF(W86&gt;=2,
"Good Communication. ",
"Needs improvement in Communication. "))) &amp;
IF(X86=0,
"Presence of Mind not attempted. Work on staying alert during discussions.",
IF(X86&gt;=4,
"Outstanding Presence of Mind. ",
IF(X86&gt;=2,
"Good Presence of Mind. ",
"Needs improvement in Presence of Mind. "))) &amp;
IF(Y86=0,
"Presentation not attempted. Enhance your presentation skills.",
IF(Y86&gt;=4,
"Outstanding Presentation. ",
IF(Y86&gt;=2,
"Good Presentation. ",
"Needs improvement in Presentation. "))))</f>
        <v>GD Round not attempted. Active participation is crucial.</v>
      </c>
      <c r="AD86" s="88">
        <v>0</v>
      </c>
      <c r="AE86" s="88">
        <v>0</v>
      </c>
      <c r="AF86" s="3">
        <v>0</v>
      </c>
      <c r="AG86" s="87">
        <v>0</v>
      </c>
      <c r="AH86" s="19">
        <f>SUM(AD86:AG86)</f>
        <v>0</v>
      </c>
      <c r="AI86" s="73" t="s">
        <v>259</v>
      </c>
      <c r="AJ86" s="76">
        <v>20</v>
      </c>
      <c r="AK86" s="45" t="str">
        <f>IF(AND(AD86=0,AE86=0,AF86=0,AG86=0),
"HR Round not attempted. It's essential to participate in all assessments.",
IF(AD86=0,
"Values not attempted. Reflect on your core values.",
IF(AD86&gt;=4,
"Outstanding understanding of Values. ",
IF(AD86&gt;=2,
"Good understanding of Values. ",
"Needs improvement in understanding Values. "))) &amp;
IF(AE86=0,
"Career Goal not attempted. Define your career objectives clearly.",
IF(AE86&gt;=4,
"Outstanding clarity in Career Goals. ",
IF(AE86&gt;=2,
"Good clarity in Career Goals. ",
"Needs improvement in defining Career Goals. "))) &amp;
IF(AF86=0,
"Behavior Skills not attempted. Work on interpersonal skills.",
IF(AF86&gt;=4,
"Outstanding Behavior Skills. ",
IF(AF86&gt;=2,
"Good Behavior Skills. ",
"Needs improvement in Behavior Skills. "))) &amp;
IF(AG86=0,
"Role Fitment not attempted. Assess your fit for the role.",
IF(AG86&gt;=4,
"Outstanding Role Fitment. ",
IF(AG86&gt;=2,
"Good Role Fitment. ",
"Needs improvement in Role Fitment. "))))</f>
        <v>HR Round not attempted. It's essential to participate in all assessments.</v>
      </c>
      <c r="AL86" s="65">
        <f>SUM(J86,R86,Z86,AH86)</f>
        <v>41.6</v>
      </c>
      <c r="AM86" s="57">
        <v>41.6</v>
      </c>
      <c r="AN86" s="70">
        <v>150</v>
      </c>
      <c r="AO86" s="57">
        <v>68</v>
      </c>
      <c r="AP86" s="52" t="str">
        <f>IF(AND(J86=0,R86=0,Z86=0,AH86=0),
"No participation in any assessment. Please ensure participation in future evaluations.",
IF(J86=0,
"Online Assessment not attempted. Focus on improving basic skills.",
IF(J86&gt;=67.5,
"Outstanding performance in Online Assessment. ",
IF(J86&gt;=45,
"Good performance in Online Assessment. ",
"Needs improvement in Online Assessment. "))) &amp;
IF(R86=0,
"Personal Interview not attempted. Active engagement is essential.",
IF(R86&gt;=16,
"Outstanding performance in Personal Interview. ",
IF(R86&gt;=10,
"Good performance in Personal Interview. ",
"Needs improvement in Personal Interview. "))) &amp;
IF(Z86=0,
"GD Round not attempted. Active participation is crucial.",
IF(Z86&gt;=16,
"Outstanding performance in GD Round. ",
IF(Z86&gt;=10,
"Good performance in GD Round. ",
"Needs improvement in GD Round. "))) &amp;
IF(AH86=0,
"HR Round not attempted. Engage in the assessment process.",
IF(AH86&gt;=16,
"Outstanding performance in HR Round. ",
IF(AH86&gt;=10,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87" spans="1:42" ht="15.75" customHeight="1">
      <c r="A87">
        <v>84</v>
      </c>
      <c r="B87" s="39" t="s">
        <v>184</v>
      </c>
      <c r="C87" s="40" t="s">
        <v>185</v>
      </c>
      <c r="D87" s="40">
        <v>9813173051</v>
      </c>
      <c r="E87" s="7" t="s">
        <v>253</v>
      </c>
      <c r="F87" s="7"/>
      <c r="G87" s="7"/>
      <c r="H87" s="7">
        <v>10.7</v>
      </c>
      <c r="I87" s="7">
        <v>22</v>
      </c>
      <c r="J87" s="28">
        <f>SUM(H87:I87)</f>
        <v>32.700000000000003</v>
      </c>
      <c r="K87" s="56">
        <v>32.700000000000003</v>
      </c>
      <c r="L87" s="28">
        <v>90</v>
      </c>
      <c r="M87" s="28" t="str">
        <f>IF(H87=0,
"Aptitude section not attempted. ",
IF(H87&gt;=33.75,
"Outstanding performance in Aptitude. ",
IF(H87&gt;=22.5,
"Good performance in Aptitude. ",
"Needs improvement in Aptitude. "))) &amp;
IF(I87=0,
" General MBA Questions section not attempted. ",
IF(I87&gt;=33.75,
" Outstanding performance in General MBA Questions. ",
IF(I87&gt;=22.5,
" Good performance in General MBA Questions. ",
" Needs improvement in General MBA Questions. ")))</f>
        <v xml:space="preserve">Needs improvement in Aptitude.  Needs improvement in General MBA Questions. </v>
      </c>
      <c r="N87" s="11">
        <v>0</v>
      </c>
      <c r="O87" s="11">
        <v>0</v>
      </c>
      <c r="P87" s="11">
        <v>0</v>
      </c>
      <c r="Q87" s="11">
        <v>0</v>
      </c>
      <c r="R87" s="41">
        <f>SUM(N87:Q87)</f>
        <v>0</v>
      </c>
      <c r="S87" s="60" t="s">
        <v>259</v>
      </c>
      <c r="T87" s="41">
        <v>20</v>
      </c>
      <c r="U87" s="45" t="str">
        <f>IF(AND(N87=0,O87=0,P87=0,Q87=0),
"Personal Interview not attempted. Please ensure participation next time.",
IF(N87=0,
"Self Expression not attempted. Focus on articulating thoughts clearly.",
IF(N87&gt;=4,
"Outstanding Self Expression. ",
IF(N87&gt;=2,
"Good Self Expression. ",
"Needs improvement in Self Expression. "))) &amp;
IF(O87=0,
"Domain Knowledge not attempted. Focus on relevant topics.",
IF(O87&gt;=4,
"Outstanding performance in Domain Knowledge. ",
IF(O87&gt;=2,
"Good performance in Domain Knowledge. ",
"Needs improvement in Domain Knowledge. "))) &amp;
IF(P87=0,
"Thought Process not attempted. Work on organizing your thoughts.",
IF(P87&gt;=4,
"Outstanding Thought Process. ",
IF(P87&gt;=2,
"Good Thought Process. ",
"Needs improvement in Thought Process. "))) &amp;
IF(Q87=0,
"Problem Solving Skills not attempted. Focus on practice.",
IF(Q87&gt;=4,
"Outstanding Problem Solving Skills. ",
IF(Q87&gt;=2,
"Good Problem Solving Skills. ",
"Needs improvement in Problem Solving Skills. "))))</f>
        <v>Personal Interview not attempted. Please ensure participation next time.</v>
      </c>
      <c r="V87" s="43">
        <v>2</v>
      </c>
      <c r="W87" s="11">
        <v>2</v>
      </c>
      <c r="X87" s="3">
        <v>2</v>
      </c>
      <c r="Y87" s="26">
        <v>2</v>
      </c>
      <c r="Z87" s="3">
        <f>SUM(V87:Y87)</f>
        <v>8</v>
      </c>
      <c r="AA87" s="57">
        <v>8</v>
      </c>
      <c r="AB87" s="69">
        <v>20</v>
      </c>
      <c r="AC87" s="7" t="str">
        <f>IF(AND(V87=0,W87=0,X87=0,Y87=0),
"GD Round not attempted. Active participation is crucial.",
IF(V87=0,
"Participation not attempted. Engage more in discussions.",
IF(V87&gt;=4,
"Outstanding Participation. ",
IF(V87&gt;=2,
"Good Participation. ",
"Needs improvement in Participation. "))) &amp;
IF(W87=0,
"Communication not attempted. Focus on expressing ideas clearly.",
IF(W87&gt;=4,
"Outstanding Communication. ",
IF(W87&gt;=2,
"Good Communication. ",
"Needs improvement in Communication. "))) &amp;
IF(X87=0,
"Presence of Mind not attempted. Work on staying alert during discussions.",
IF(X87&gt;=4,
"Outstanding Presence of Mind. ",
IF(X87&gt;=2,
"Good Presence of Mind. ",
"Needs improvement in Presence of Mind. "))) &amp;
IF(Y87=0,
"Presentation not attempted. Enhance your presentation skills.",
IF(Y87&gt;=4,
"Outstanding Presentation. ",
IF(Y87&gt;=2,
"Good Presentation. ",
"Needs improvement in Presentation. "))))</f>
        <v xml:space="preserve">Good Participation. Good Communication. Good Presence of Mind. Good Presentation. </v>
      </c>
      <c r="AD87" s="43">
        <v>0</v>
      </c>
      <c r="AE87" s="11">
        <v>0</v>
      </c>
      <c r="AF87" s="90">
        <v>0</v>
      </c>
      <c r="AG87" s="26">
        <v>0</v>
      </c>
      <c r="AH87" s="19">
        <f>SUM(AD87:AG87)</f>
        <v>0</v>
      </c>
      <c r="AI87" s="73" t="s">
        <v>259</v>
      </c>
      <c r="AJ87" s="76">
        <v>20</v>
      </c>
      <c r="AK87" s="45" t="str">
        <f>IF(AND(AD87=0,AE87=0,AF87=0,AG87=0),
"HR Round not attempted. It's essential to participate in all assessments.",
IF(AD87=0,
"Values not attempted. Reflect on your core values.",
IF(AD87&gt;=4,
"Outstanding understanding of Values. ",
IF(AD87&gt;=2,
"Good understanding of Values. ",
"Needs improvement in understanding Values. "))) &amp;
IF(AE87=0,
"Career Goal not attempted. Define your career objectives clearly.",
IF(AE87&gt;=4,
"Outstanding clarity in Career Goals. ",
IF(AE87&gt;=2,
"Good clarity in Career Goals. ",
"Needs improvement in defining Career Goals. "))) &amp;
IF(AF87=0,
"Behavior Skills not attempted. Work on interpersonal skills.",
IF(AF87&gt;=4,
"Outstanding Behavior Skills. ",
IF(AF87&gt;=2,
"Good Behavior Skills. ",
"Needs improvement in Behavior Skills. "))) &amp;
IF(AG87=0,
"Role Fitment not attempted. Assess your fit for the role.",
IF(AG87&gt;=4,
"Outstanding Role Fitment. ",
IF(AG87&gt;=2,
"Good Role Fitment. ",
"Needs improvement in Role Fitment. "))))</f>
        <v>HR Round not attempted. It's essential to participate in all assessments.</v>
      </c>
      <c r="AL87" s="65">
        <f>SUM(J87,R87,Z87,AH87)</f>
        <v>40.700000000000003</v>
      </c>
      <c r="AM87" s="57">
        <v>40.700000000000003</v>
      </c>
      <c r="AN87" s="70">
        <v>150</v>
      </c>
      <c r="AO87" s="57">
        <v>70</v>
      </c>
      <c r="AP87" s="52" t="str">
        <f>IF(AND(J87=0,R87=0,Z87=0,AH87=0),
"No participation in any assessment. Please ensure participation in future evaluations.",
IF(J87=0,
"Online Assessment not attempted. Focus on improving basic skills.",
IF(J87&gt;=67.5,
"Outstanding performance in Online Assessment. ",
IF(J87&gt;=45,
"Good performance in Online Assessment. ",
"Needs improvement in Online Assessment. "))) &amp;
IF(R87=0,
"Personal Interview not attempted. Active engagement is essential.",
IF(R87&gt;=16,
"Outstanding performance in Personal Interview. ",
IF(R87&gt;=10,
"Good performance in Personal Interview. ",
"Needs improvement in Personal Interview. "))) &amp;
IF(Z87=0,
"GD Round not attempted. Active participation is crucial.",
IF(Z87&gt;=16,
"Outstanding performance in GD Round. ",
IF(Z87&gt;=10,
"Good performance in GD Round. ",
"Needs improvement in GD Round. "))) &amp;
IF(AH87=0,
"HR Round not attempted. Engage in the assessment process.",
IF(AH87&gt;=16,
"Outstanding performance in HR Round. ",
IF(AH87&gt;=10,
"Good performance in HR Round. ",
"Needs improvement in HR Round."))))</f>
        <v>Needs improvement in Online Assessment. Personal Interview not attempted. Active engagement is essential.Needs improvement in GD Round. HR Round not attempted. Engage in the assessment process.</v>
      </c>
    </row>
    <row r="88" spans="1:42" ht="15.75" customHeight="1">
      <c r="A88">
        <v>85</v>
      </c>
      <c r="B88" s="39" t="s">
        <v>81</v>
      </c>
      <c r="C88" s="7" t="s">
        <v>247</v>
      </c>
      <c r="D88" s="40">
        <v>8222002105</v>
      </c>
      <c r="E88" s="7" t="s">
        <v>253</v>
      </c>
      <c r="F88" s="6"/>
      <c r="G88" s="6"/>
      <c r="H88" s="7">
        <v>9.65</v>
      </c>
      <c r="I88" s="7">
        <v>21</v>
      </c>
      <c r="J88" s="28">
        <f>SUM(H88:I88)</f>
        <v>30.65</v>
      </c>
      <c r="K88" s="56">
        <v>30.65</v>
      </c>
      <c r="L88" s="28">
        <v>90</v>
      </c>
      <c r="M88" s="28" t="str">
        <f>IF(H88=0,
"Aptitude section not attempted. ",
IF(H88&gt;=33.75,
"Outstanding performance in Aptitude. ",
IF(H88&gt;=22.5,
"Good performance in Aptitude. ",
"Needs improvement in Aptitude. "))) &amp;
IF(I88=0,
" General MBA Questions section not attempted. ",
IF(I88&gt;=33.75,
" Outstanding performance in General MBA Questions. ",
IF(I88&gt;=22.5,
" Good performance in General MBA Questions. ",
" Needs improvement in General MBA Questions. ")))</f>
        <v xml:space="preserve">Needs improvement in Aptitude.  Needs improvement in General MBA Questions. </v>
      </c>
      <c r="N88" s="11">
        <v>0</v>
      </c>
      <c r="O88" s="11">
        <v>0</v>
      </c>
      <c r="P88" s="11">
        <v>0</v>
      </c>
      <c r="Q88" s="11">
        <v>0</v>
      </c>
      <c r="R88" s="41">
        <f>SUM(N88:Q88)</f>
        <v>0</v>
      </c>
      <c r="S88" s="60" t="s">
        <v>259</v>
      </c>
      <c r="T88" s="41">
        <v>20</v>
      </c>
      <c r="U88" s="45" t="str">
        <f>IF(AND(N88=0,O88=0,P88=0,Q88=0),
"Personal Interview not attempted. Please ensure participation next time.",
IF(N88=0,
"Self Expression not attempted. Focus on articulating thoughts clearly.",
IF(N88&gt;=4,
"Outstanding Self Expression. ",
IF(N88&gt;=2,
"Good Self Expression. ",
"Needs improvement in Self Expression. "))) &amp;
IF(O88=0,
"Domain Knowledge not attempted. Focus on relevant topics.",
IF(O88&gt;=4,
"Outstanding performance in Domain Knowledge. ",
IF(O88&gt;=2,
"Good performance in Domain Knowledge. ",
"Needs improvement in Domain Knowledge. "))) &amp;
IF(P88=0,
"Thought Process not attempted. Work on organizing your thoughts.",
IF(P88&gt;=4,
"Outstanding Thought Process. ",
IF(P88&gt;=2,
"Good Thought Process. ",
"Needs improvement in Thought Process. "))) &amp;
IF(Q88=0,
"Problem Solving Skills not attempted. Focus on practice.",
IF(Q88&gt;=4,
"Outstanding Problem Solving Skills. ",
IF(Q88&gt;=2,
"Good Problem Solving Skills. ",
"Needs improvement in Problem Solving Skills. "))))</f>
        <v>Personal Interview not attempted. Please ensure participation next time.</v>
      </c>
      <c r="V88" s="43">
        <v>2</v>
      </c>
      <c r="W88" s="11">
        <v>2</v>
      </c>
      <c r="X88" s="3">
        <v>2</v>
      </c>
      <c r="Y88">
        <v>2</v>
      </c>
      <c r="Z88" s="3">
        <f>SUM(V88:Y88)</f>
        <v>8</v>
      </c>
      <c r="AA88" s="57">
        <v>8</v>
      </c>
      <c r="AB88" s="69">
        <v>20</v>
      </c>
      <c r="AC88" s="7" t="str">
        <f>IF(AND(V88=0,W88=0,X88=0,Y88=0),
"GD Round not attempted. Active participation is crucial.",
IF(V88=0,
"Participation not attempted. Engage more in discussions.",
IF(V88&gt;=4,
"Outstanding Participation. ",
IF(V88&gt;=2,
"Good Participation. ",
"Needs improvement in Participation. "))) &amp;
IF(W88=0,
"Communication not attempted. Focus on expressing ideas clearly.",
IF(W88&gt;=4,
"Outstanding Communication. ",
IF(W88&gt;=2,
"Good Communication. ",
"Needs improvement in Communication. "))) &amp;
IF(X88=0,
"Presence of Mind not attempted. Work on staying alert during discussions.",
IF(X88&gt;=4,
"Outstanding Presence of Mind. ",
IF(X88&gt;=2,
"Good Presence of Mind. ",
"Needs improvement in Presence of Mind. "))) &amp;
IF(Y88=0,
"Presentation not attempted. Enhance your presentation skills.",
IF(Y88&gt;=4,
"Outstanding Presentation. ",
IF(Y88&gt;=2,
"Good Presentation. ",
"Needs improvement in Presentation. "))))</f>
        <v xml:space="preserve">Good Participation. Good Communication. Good Presence of Mind. Good Presentation. </v>
      </c>
      <c r="AD88" s="88">
        <v>0</v>
      </c>
      <c r="AE88" s="88">
        <v>0</v>
      </c>
      <c r="AF88" s="90">
        <v>0</v>
      </c>
      <c r="AG88" s="87">
        <v>0</v>
      </c>
      <c r="AH88" s="19">
        <f>SUM(AD88:AG88)</f>
        <v>0</v>
      </c>
      <c r="AI88" s="73" t="s">
        <v>259</v>
      </c>
      <c r="AJ88" s="76">
        <v>20</v>
      </c>
      <c r="AK88" s="45" t="str">
        <f>IF(AND(AD88=0,AE88=0,AF88=0,AG88=0),
"HR Round not attempted. It's essential to participate in all assessments.",
IF(AD88=0,
"Values not attempted. Reflect on your core values.",
IF(AD88&gt;=4,
"Outstanding understanding of Values. ",
IF(AD88&gt;=2,
"Good understanding of Values. ",
"Needs improvement in understanding Values. "))) &amp;
IF(AE88=0,
"Career Goal not attempted. Define your career objectives clearly.",
IF(AE88&gt;=4,
"Outstanding clarity in Career Goals. ",
IF(AE88&gt;=2,
"Good clarity in Career Goals. ",
"Needs improvement in defining Career Goals. "))) &amp;
IF(AF88=0,
"Behavior Skills not attempted. Work on interpersonal skills.",
IF(AF88&gt;=4,
"Outstanding Behavior Skills. ",
IF(AF88&gt;=2,
"Good Behavior Skills. ",
"Needs improvement in Behavior Skills. "))) &amp;
IF(AG88=0,
"Role Fitment not attempted. Assess your fit for the role.",
IF(AG88&gt;=4,
"Outstanding Role Fitment. ",
IF(AG88&gt;=2,
"Good Role Fitment. ",
"Needs improvement in Role Fitment. "))))</f>
        <v>HR Round not attempted. It's essential to participate in all assessments.</v>
      </c>
      <c r="AL88" s="65">
        <f>SUM(J88,R88,Z88,AH88)</f>
        <v>38.65</v>
      </c>
      <c r="AM88" s="57">
        <v>38.65</v>
      </c>
      <c r="AN88" s="70">
        <v>150</v>
      </c>
      <c r="AO88" s="57">
        <v>71</v>
      </c>
      <c r="AP88" s="52" t="str">
        <f>IF(AND(J88=0,R88=0,Z88=0,AH88=0),
"No participation in any assessment. Please ensure participation in future evaluations.",
IF(J88=0,
"Online Assessment not attempted. Focus on improving basic skills.",
IF(J88&gt;=67.5,
"Outstanding performance in Online Assessment. ",
IF(J88&gt;=45,
"Good performance in Online Assessment. ",
"Needs improvement in Online Assessment. "))) &amp;
IF(R88=0,
"Personal Interview not attempted. Active engagement is essential.",
IF(R88&gt;=16,
"Outstanding performance in Personal Interview. ",
IF(R88&gt;=10,
"Good performance in Personal Interview. ",
"Needs improvement in Personal Interview. "))) &amp;
IF(Z88=0,
"GD Round not attempted. Active participation is crucial.",
IF(Z88&gt;=16,
"Outstanding performance in GD Round. ",
IF(Z88&gt;=10,
"Good performance in GD Round. ",
"Needs improvement in GD Round. "))) &amp;
IF(AH88=0,
"HR Round not attempted. Engage in the assessment process.",
IF(AH88&gt;=16,
"Outstanding performance in HR Round. ",
IF(AH88&gt;=10,
"Good performance in HR Round. ",
"Needs improvement in HR Round."))))</f>
        <v>Needs improvement in Online Assessment. Personal Interview not attempted. Active engagement is essential.Needs improvement in GD Round. HR Round not attempted. Engage in the assessment process.</v>
      </c>
    </row>
    <row r="89" spans="1:42" ht="15.75" customHeight="1">
      <c r="A89">
        <v>86</v>
      </c>
      <c r="B89" s="39" t="s">
        <v>216</v>
      </c>
      <c r="C89" s="40" t="s">
        <v>217</v>
      </c>
      <c r="D89" s="40">
        <v>9992249587</v>
      </c>
      <c r="E89" s="7" t="s">
        <v>253</v>
      </c>
      <c r="F89" s="7"/>
      <c r="G89" s="7"/>
      <c r="H89" s="7">
        <v>12.65</v>
      </c>
      <c r="I89" s="7">
        <v>20</v>
      </c>
      <c r="J89" s="28">
        <f>SUM(H89:I89)</f>
        <v>32.65</v>
      </c>
      <c r="K89" s="56">
        <v>32.65</v>
      </c>
      <c r="L89" s="28">
        <v>90</v>
      </c>
      <c r="M89" s="28" t="str">
        <f>IF(H89=0,
"Aptitude section not attempted. ",
IF(H89&gt;=33.75,
"Outstanding performance in Aptitude. ",
IF(H89&gt;=22.5,
"Good performance in Aptitude. ",
"Needs improvement in Aptitude. "))) &amp;
IF(I89=0,
" General MBA Questions section not attempted. ",
IF(I89&gt;=33.75,
" Outstanding performance in General MBA Questions. ",
IF(I89&gt;=22.5,
" Good performance in General MBA Questions. ",
" Needs improvement in General MBA Questions. ")))</f>
        <v xml:space="preserve">Needs improvement in Aptitude.  Needs improvement in General MBA Questions. </v>
      </c>
      <c r="N89" s="11">
        <v>0</v>
      </c>
      <c r="O89" s="11">
        <v>0</v>
      </c>
      <c r="P89" s="11">
        <v>0</v>
      </c>
      <c r="Q89" s="11">
        <v>0</v>
      </c>
      <c r="R89" s="41">
        <f>SUM(N89:Q89)</f>
        <v>0</v>
      </c>
      <c r="S89" s="60" t="s">
        <v>259</v>
      </c>
      <c r="T89" s="41">
        <v>20</v>
      </c>
      <c r="U89" s="45" t="str">
        <f>IF(AND(N89=0,O89=0,P89=0,Q89=0),
"Personal Interview not attempted. Please ensure participation next time.",
IF(N89=0,
"Self Expression not attempted. Focus on articulating thoughts clearly.",
IF(N89&gt;=4,
"Outstanding Self Expression. ",
IF(N89&gt;=2,
"Good Self Expression. ",
"Needs improvement in Self Expression. "))) &amp;
IF(O89=0,
"Domain Knowledge not attempted. Focus on relevant topics.",
IF(O89&gt;=4,
"Outstanding performance in Domain Knowledge. ",
IF(O89&gt;=2,
"Good performance in Domain Knowledge. ",
"Needs improvement in Domain Knowledge. "))) &amp;
IF(P89=0,
"Thought Process not attempted. Work on organizing your thoughts.",
IF(P89&gt;=4,
"Outstanding Thought Process. ",
IF(P89&gt;=2,
"Good Thought Process. ",
"Needs improvement in Thought Process. "))) &amp;
IF(Q89=0,
"Problem Solving Skills not attempted. Focus on practice.",
IF(Q89&gt;=4,
"Outstanding Problem Solving Skills. ",
IF(Q89&gt;=2,
"Good Problem Solving Skills. ",
"Needs improvement in Problem Solving Skills. "))))</f>
        <v>Personal Interview not attempted. Please ensure participation next time.</v>
      </c>
      <c r="V89" s="43">
        <v>1</v>
      </c>
      <c r="W89" s="11">
        <v>1</v>
      </c>
      <c r="X89" s="3">
        <v>1</v>
      </c>
      <c r="Y89" s="87">
        <v>1</v>
      </c>
      <c r="Z89" s="3">
        <f>SUM(V89:Y89)</f>
        <v>4</v>
      </c>
      <c r="AA89" s="57">
        <v>4</v>
      </c>
      <c r="AB89" s="69">
        <v>20</v>
      </c>
      <c r="AC89" s="7" t="str">
        <f>IF(AND(V89=0,W89=0,X89=0,Y89=0),
"GD Round not attempted. Active participation is crucial.",
IF(V89=0,
"Participation not attempted. Engage more in discussions.",
IF(V89&gt;=4,
"Outstanding Participation. ",
IF(V89&gt;=2,
"Good Participation. ",
"Needs improvement in Participation. "))) &amp;
IF(W89=0,
"Communication not attempted. Focus on expressing ideas clearly.",
IF(W89&gt;=4,
"Outstanding Communication. ",
IF(W89&gt;=2,
"Good Communication. ",
"Needs improvement in Communication. "))) &amp;
IF(X89=0,
"Presence of Mind not attempted. Work on staying alert during discussions.",
IF(X89&gt;=4,
"Outstanding Presence of Mind. ",
IF(X89&gt;=2,
"Good Presence of Mind. ",
"Needs improvement in Presence of Mind. "))) &amp;
IF(Y89=0,
"Presentation not attempted. Enhance your presentation skills.",
IF(Y89&gt;=4,
"Outstanding Presentation. ",
IF(Y89&gt;=2,
"Good Presentation. ",
"Needs improvement in Presentation. "))))</f>
        <v xml:space="preserve">Needs improvement in Participation. Needs improvement in Communication. Needs improvement in Presence of Mind. Needs improvement in Presentation. </v>
      </c>
      <c r="AD89" s="88">
        <v>0</v>
      </c>
      <c r="AE89" s="88">
        <v>0</v>
      </c>
      <c r="AF89" s="90">
        <v>0</v>
      </c>
      <c r="AG89" s="87">
        <v>0</v>
      </c>
      <c r="AH89" s="19">
        <f>SUM(AD89:AG89)</f>
        <v>0</v>
      </c>
      <c r="AI89" s="73" t="s">
        <v>259</v>
      </c>
      <c r="AJ89" s="76">
        <v>20</v>
      </c>
      <c r="AK89" s="45" t="str">
        <f>IF(AND(AD89=0,AE89=0,AF89=0,AG89=0),
"HR Round not attempted. It's essential to participate in all assessments.",
IF(AD89=0,
"Values not attempted. Reflect on your core values.",
IF(AD89&gt;=4,
"Outstanding understanding of Values. ",
IF(AD89&gt;=2,
"Good understanding of Values. ",
"Needs improvement in understanding Values. "))) &amp;
IF(AE89=0,
"Career Goal not attempted. Define your career objectives clearly.",
IF(AE89&gt;=4,
"Outstanding clarity in Career Goals. ",
IF(AE89&gt;=2,
"Good clarity in Career Goals. ",
"Needs improvement in defining Career Goals. "))) &amp;
IF(AF89=0,
"Behavior Skills not attempted. Work on interpersonal skills.",
IF(AF89&gt;=4,
"Outstanding Behavior Skills. ",
IF(AF89&gt;=2,
"Good Behavior Skills. ",
"Needs improvement in Behavior Skills. "))) &amp;
IF(AG89=0,
"Role Fitment not attempted. Assess your fit for the role.",
IF(AG89&gt;=4,
"Outstanding Role Fitment. ",
IF(AG89&gt;=2,
"Good Role Fitment. ",
"Needs improvement in Role Fitment. "))))</f>
        <v>HR Round not attempted. It's essential to participate in all assessments.</v>
      </c>
      <c r="AL89" s="65">
        <f>SUM(J89,R89,Z89,AH89)</f>
        <v>36.65</v>
      </c>
      <c r="AM89" s="57">
        <v>36.65</v>
      </c>
      <c r="AN89" s="70">
        <v>150</v>
      </c>
      <c r="AO89" s="57">
        <v>74</v>
      </c>
      <c r="AP89" s="52" t="str">
        <f>IF(AND(J89=0,R89=0,Z89=0,AH89=0),
"No participation in any assessment. Please ensure participation in future evaluations.",
IF(J89=0,
"Online Assessment not attempted. Focus on improving basic skills.",
IF(J89&gt;=67.5,
"Outstanding performance in Online Assessment. ",
IF(J89&gt;=45,
"Good performance in Online Assessment. ",
"Needs improvement in Online Assessment. "))) &amp;
IF(R89=0,
"Personal Interview not attempted. Active engagement is essential.",
IF(R89&gt;=16,
"Outstanding performance in Personal Interview. ",
IF(R89&gt;=10,
"Good performance in Personal Interview. ",
"Needs improvement in Personal Interview. "))) &amp;
IF(Z89=0,
"GD Round not attempted. Active participation is crucial.",
IF(Z89&gt;=16,
"Outstanding performance in GD Round. ",
IF(Z89&gt;=10,
"Good performance in GD Round. ",
"Needs improvement in GD Round. "))) &amp;
IF(AH89=0,
"HR Round not attempted. Engage in the assessment process.",
IF(AH89&gt;=16,
"Outstanding performance in HR Round. ",
IF(AH89&gt;=10,
"Good performance in HR Round. ",
"Needs improvement in HR Round."))))</f>
        <v>Needs improvement in Online Assessment. Personal Interview not attempted. Active engagement is essential.Needs improvement in GD Round. HR Round not attempted. Engage in the assessment process.</v>
      </c>
    </row>
    <row r="90" spans="1:42" ht="15.75" customHeight="1">
      <c r="A90">
        <v>87</v>
      </c>
      <c r="B90" s="39" t="s">
        <v>178</v>
      </c>
      <c r="C90" s="40" t="s">
        <v>179</v>
      </c>
      <c r="D90" s="40">
        <v>7888384253</v>
      </c>
      <c r="E90" s="7" t="s">
        <v>253</v>
      </c>
      <c r="F90" s="7"/>
      <c r="G90" s="7"/>
      <c r="H90" s="7">
        <v>0</v>
      </c>
      <c r="I90" s="7">
        <v>0</v>
      </c>
      <c r="J90" s="28">
        <f>SUM(H90:I90)</f>
        <v>0</v>
      </c>
      <c r="K90" s="56" t="s">
        <v>259</v>
      </c>
      <c r="L90" s="28">
        <v>90</v>
      </c>
      <c r="M90" s="28" t="str">
        <f>IF(H90=0,
"Aptitude section not attempted. ",
IF(H90&gt;=33.75,
"Outstanding performance in Aptitude. ",
IF(H90&gt;=22.5,
"Good performance in Aptitude. ",
"Needs improvement in Aptitude. "))) &amp;
IF(I90=0,
" General MBA Questions section not attempted. ",
IF(I90&gt;=33.75,
" Outstanding performance in General MBA Questions. ",
IF(I90&gt;=22.5,
" Good performance in General MBA Questions. ",
" Needs improvement in General MBA Questions. ")))</f>
        <v xml:space="preserve">Aptitude section not attempted.  General MBA Questions section not attempted. </v>
      </c>
      <c r="N90" s="7">
        <v>4</v>
      </c>
      <c r="O90" s="7">
        <v>4</v>
      </c>
      <c r="P90" s="7">
        <v>4</v>
      </c>
      <c r="Q90" s="7">
        <v>0</v>
      </c>
      <c r="R90" s="41">
        <f>SUM(N90:Q90)</f>
        <v>12</v>
      </c>
      <c r="S90" s="60">
        <v>12</v>
      </c>
      <c r="T90" s="41">
        <v>20</v>
      </c>
      <c r="U90" s="45" t="str">
        <f>IF(AND(N90=0,O90=0,P90=0,Q90=0),
"Personal Interview not attempted. Please ensure participation next time.",
IF(N90=0,
"Self Expression not attempted. Focus on articulating thoughts clearly.",
IF(N90&gt;=4,
"Outstanding Self Expression. ",
IF(N90&gt;=2,
"Good Self Expression. ",
"Needs improvement in Self Expression. "))) &amp;
IF(O90=0,
"Domain Knowledge not attempted. Focus on relevant topics.",
IF(O90&gt;=4,
"Outstanding performance in Domain Knowledge. ",
IF(O90&gt;=2,
"Good performance in Domain Knowledge. ",
"Needs improvement in Domain Knowledge. "))) &amp;
IF(P90=0,
"Thought Process not attempted. Work on organizing your thoughts.",
IF(P90&gt;=4,
"Outstanding Thought Process. ",
IF(P90&gt;=2,
"Good Thought Process. ",
"Needs improvement in Thought Process. "))) &amp;
IF(Q90=0,
"Problem Solving Skills not attempted. Focus on practice.",
IF(Q90&gt;=4,
"Outstanding Problem Solving Skills. ",
IF(Q90&gt;=2,
"Good Problem Solving Skills. ",
"Needs improvement in Problem Solving Skills. "))))</f>
        <v>Outstanding Self Expression. Outstanding performance in Domain Knowledge. Outstanding Thought Process. Problem Solving Skills not attempted. Focus on practice.</v>
      </c>
      <c r="V90" s="43">
        <v>2</v>
      </c>
      <c r="W90" s="11">
        <v>2</v>
      </c>
      <c r="X90" s="3">
        <v>2</v>
      </c>
      <c r="Y90" s="26">
        <v>2</v>
      </c>
      <c r="Z90" s="3">
        <f>SUM(V90:Y90)</f>
        <v>8</v>
      </c>
      <c r="AA90" s="57">
        <v>8</v>
      </c>
      <c r="AB90" s="69">
        <v>20</v>
      </c>
      <c r="AC90" s="7" t="str">
        <f>IF(AND(V90=0,W90=0,X90=0,Y90=0),
"GD Round not attempted. Active participation is crucial.",
IF(V90=0,
"Participation not attempted. Engage more in discussions.",
IF(V90&gt;=4,
"Outstanding Participation. ",
IF(V90&gt;=2,
"Good Participation. ",
"Needs improvement in Participation. "))) &amp;
IF(W90=0,
"Communication not attempted. Focus on expressing ideas clearly.",
IF(W90&gt;=4,
"Outstanding Communication. ",
IF(W90&gt;=2,
"Good Communication. ",
"Needs improvement in Communication. "))) &amp;
IF(X90=0,
"Presence of Mind not attempted. Work on staying alert during discussions.",
IF(X90&gt;=4,
"Outstanding Presence of Mind. ",
IF(X90&gt;=2,
"Good Presence of Mind. ",
"Needs improvement in Presence of Mind. "))) &amp;
IF(Y90=0,
"Presentation not attempted. Enhance your presentation skills.",
IF(Y90&gt;=4,
"Outstanding Presentation. ",
IF(Y90&gt;=2,
"Good Presentation. ",
"Needs improvement in Presentation. "))))</f>
        <v xml:space="preserve">Good Participation. Good Communication. Good Presence of Mind. Good Presentation. </v>
      </c>
      <c r="AD90" s="46">
        <v>4</v>
      </c>
      <c r="AE90" s="7">
        <v>4</v>
      </c>
      <c r="AF90" s="87">
        <v>4</v>
      </c>
      <c r="AG90" s="26">
        <v>4</v>
      </c>
      <c r="AH90" s="19">
        <f>SUM(AD90:AG90)</f>
        <v>16</v>
      </c>
      <c r="AI90" s="73">
        <v>16</v>
      </c>
      <c r="AJ90" s="76">
        <v>20</v>
      </c>
      <c r="AK90" s="45" t="str">
        <f>IF(AND(AD90=0,AE90=0,AF90=0,AG90=0),
"HR Round not attempted. It's essential to participate in all assessments.",
IF(AD90=0,
"Values not attempted. Reflect on your core values.",
IF(AD90&gt;=4,
"Outstanding understanding of Values. ",
IF(AD90&gt;=2,
"Good understanding of Values. ",
"Needs improvement in understanding Values. "))) &amp;
IF(AE90=0,
"Career Goal not attempted. Define your career objectives clearly.",
IF(AE90&gt;=4,
"Outstanding clarity in Career Goals. ",
IF(AE90&gt;=2,
"Good clarity in Career Goals. ",
"Needs improvement in defining Career Goals. "))) &amp;
IF(AF90=0,
"Behavior Skills not attempted. Work on interpersonal skills.",
IF(AF90&gt;=4,
"Outstanding Behavior Skills. ",
IF(AF90&gt;=2,
"Good Behavior Skills. ",
"Needs improvement in Behavior Skills. "))) &amp;
IF(AG90=0,
"Role Fitment not attempted. Assess your fit for the role.",
IF(AG90&gt;=4,
"Outstanding Role Fitment. ",
IF(AG90&gt;=2,
"Good Role Fitment. ",
"Needs improvement in Role Fitment. "))))</f>
        <v xml:space="preserve">Outstanding understanding of Values. Outstanding clarity in Career Goals. Outstanding Behavior Skills. Outstanding Role Fitment. </v>
      </c>
      <c r="AL90" s="65">
        <f>SUM(J90,R90,Z90,AH90)</f>
        <v>36</v>
      </c>
      <c r="AM90" s="57">
        <v>36</v>
      </c>
      <c r="AN90" s="70">
        <v>150</v>
      </c>
      <c r="AO90" s="57">
        <v>75</v>
      </c>
      <c r="AP90" s="52" t="str">
        <f>IF(AND(J90=0,R90=0,Z90=0,AH90=0),
"No participation in any assessment. Please ensure participation in future evaluations.",
IF(J90=0,
"Online Assessment not attempted. Focus on improving basic skills.",
IF(J90&gt;=67.5,
"Outstanding performance in Online Assessment. ",
IF(J90&gt;=45,
"Good performance in Online Assessment. ",
"Needs improvement in Online Assessment. "))) &amp;
IF(R90=0,
"Personal Interview not attempted. Active engagement is essential.",
IF(R90&gt;=16,
"Outstanding performance in Personal Interview. ",
IF(R90&gt;=10,
"Good performance in Personal Interview. ",
"Needs improvement in Personal Interview. "))) &amp;
IF(Z90=0,
"GD Round not attempted. Active participation is crucial.",
IF(Z90&gt;=16,
"Outstanding performance in GD Round. ",
IF(Z90&gt;=10,
"Good performance in GD Round. ",
"Needs improvement in GD Round. "))) &amp;
IF(AH90=0,
"HR Round not attempted. Engage in the assessment process.",
IF(AH90&gt;=16,
"Outstanding performance in HR Round. ",
IF(AH90&gt;=10,
"Good performance in HR Round. ",
"Needs improvement in HR Round."))))</f>
        <v xml:space="preserve">Online Assessment not attempted. Focus on improving basic skills.Good performance in Personal Interview. Needs improvement in GD Round. Outstanding performance in HR Round. </v>
      </c>
    </row>
    <row r="91" spans="1:42" ht="15.75" customHeight="1">
      <c r="A91">
        <v>88</v>
      </c>
      <c r="B91" s="39" t="s">
        <v>198</v>
      </c>
      <c r="C91" s="40" t="s">
        <v>199</v>
      </c>
      <c r="D91" s="40">
        <v>8427566006</v>
      </c>
      <c r="E91" s="7" t="s">
        <v>253</v>
      </c>
      <c r="F91" s="7"/>
      <c r="G91" s="7"/>
      <c r="H91" s="7">
        <v>0</v>
      </c>
      <c r="I91" s="7">
        <v>0</v>
      </c>
      <c r="J91" s="28">
        <f>SUM(H91:I91)</f>
        <v>0</v>
      </c>
      <c r="K91" s="56" t="s">
        <v>259</v>
      </c>
      <c r="L91" s="28">
        <v>90</v>
      </c>
      <c r="M91" s="28" t="str">
        <f>IF(H91=0,
"Aptitude section not attempted. ",
IF(H91&gt;=33.75,
"Outstanding performance in Aptitude. ",
IF(H91&gt;=22.5,
"Good performance in Aptitude. ",
"Needs improvement in Aptitude. "))) &amp;
IF(I91=0,
" General MBA Questions section not attempted. ",
IF(I91&gt;=33.75,
" Outstanding performance in General MBA Questions. ",
IF(I91&gt;=22.5,
" Good performance in General MBA Questions. ",
" Needs improvement in General MBA Questions. ")))</f>
        <v xml:space="preserve">Aptitude section not attempted.  General MBA Questions section not attempted. </v>
      </c>
      <c r="N91" s="7">
        <v>3</v>
      </c>
      <c r="O91" s="7">
        <v>3.5</v>
      </c>
      <c r="P91" s="7">
        <v>3.5</v>
      </c>
      <c r="Q91" s="7">
        <v>3.5</v>
      </c>
      <c r="R91" s="41">
        <f>SUM(N91:Q91)</f>
        <v>13.5</v>
      </c>
      <c r="S91" s="60">
        <v>13.5</v>
      </c>
      <c r="T91" s="41">
        <v>20</v>
      </c>
      <c r="U91" s="45" t="str">
        <f>IF(AND(N91=0,O91=0,P91=0,Q91=0),
"Personal Interview not attempted. Please ensure participation next time.",
IF(N91=0,
"Self Expression not attempted. Focus on articulating thoughts clearly.",
IF(N91&gt;=4,
"Outstanding Self Expression. ",
IF(N91&gt;=2,
"Good Self Expression. ",
"Needs improvement in Self Expression. "))) &amp;
IF(O91=0,
"Domain Knowledge not attempted. Focus on relevant topics.",
IF(O91&gt;=4,
"Outstanding performance in Domain Knowledge. ",
IF(O91&gt;=2,
"Good performance in Domain Knowledge. ",
"Needs improvement in Domain Knowledge. "))) &amp;
IF(P91=0,
"Thought Process not attempted. Work on organizing your thoughts.",
IF(P91&gt;=4,
"Outstanding Thought Process. ",
IF(P91&gt;=2,
"Good Thought Process. ",
"Needs improvement in Thought Process. "))) &amp;
IF(Q91=0,
"Problem Solving Skills not attempted. Focus on practice.",
IF(Q91&gt;=4,
"Outstanding Problem Solving Skills. ",
IF(Q91&gt;=2,
"Good Problem Solving Skills. ",
"Needs improvement in Problem Solving Skills. "))))</f>
        <v xml:space="preserve">Good Self Expression. Good performance in Domain Knowledge. Good Thought Process. Good Problem Solving Skills. </v>
      </c>
      <c r="V91" s="43">
        <v>2</v>
      </c>
      <c r="W91" s="11">
        <v>2</v>
      </c>
      <c r="X91" s="3">
        <v>2</v>
      </c>
      <c r="Y91" s="87">
        <v>2</v>
      </c>
      <c r="Z91" s="3">
        <f>SUM(V91:Y91)</f>
        <v>8</v>
      </c>
      <c r="AA91" s="57">
        <v>8</v>
      </c>
      <c r="AB91" s="69">
        <v>20</v>
      </c>
      <c r="AC91" s="7" t="str">
        <f>IF(AND(V91=0,W91=0,X91=0,Y91=0),
"GD Round not attempted. Active participation is crucial.",
IF(V91=0,
"Participation not attempted. Engage more in discussions.",
IF(V91&gt;=4,
"Outstanding Participation. ",
IF(V91&gt;=2,
"Good Participation. ",
"Needs improvement in Participation. "))) &amp;
IF(W91=0,
"Communication not attempted. Focus on expressing ideas clearly.",
IF(W91&gt;=4,
"Outstanding Communication. ",
IF(W91&gt;=2,
"Good Communication. ",
"Needs improvement in Communication. "))) &amp;
IF(X91=0,
"Presence of Mind not attempted. Work on staying alert during discussions.",
IF(X91&gt;=4,
"Outstanding Presence of Mind. ",
IF(X91&gt;=2,
"Good Presence of Mind. ",
"Needs improvement in Presence of Mind. "))) &amp;
IF(Y91=0,
"Presentation not attempted. Enhance your presentation skills.",
IF(Y91&gt;=4,
"Outstanding Presentation. ",
IF(Y91&gt;=2,
"Good Presentation. ",
"Needs improvement in Presentation. "))))</f>
        <v xml:space="preserve">Good Participation. Good Communication. Good Presence of Mind. Good Presentation. </v>
      </c>
      <c r="AD91" s="87">
        <v>3</v>
      </c>
      <c r="AE91" s="87">
        <v>4</v>
      </c>
      <c r="AF91" s="87">
        <v>4</v>
      </c>
      <c r="AG91" s="87">
        <v>3.5</v>
      </c>
      <c r="AH91" s="19">
        <f>SUM(AD91:AG91)</f>
        <v>14.5</v>
      </c>
      <c r="AI91" s="73">
        <v>14.5</v>
      </c>
      <c r="AJ91" s="76">
        <v>20</v>
      </c>
      <c r="AK91" s="45" t="str">
        <f>IF(AND(AD91=0,AE91=0,AF91=0,AG91=0),
"HR Round not attempted. It's essential to participate in all assessments.",
IF(AD91=0,
"Values not attempted. Reflect on your core values.",
IF(AD91&gt;=4,
"Outstanding understanding of Values. ",
IF(AD91&gt;=2,
"Good understanding of Values. ",
"Needs improvement in understanding Values. "))) &amp;
IF(AE91=0,
"Career Goal not attempted. Define your career objectives clearly.",
IF(AE91&gt;=4,
"Outstanding clarity in Career Goals. ",
IF(AE91&gt;=2,
"Good clarity in Career Goals. ",
"Needs improvement in defining Career Goals. "))) &amp;
IF(AF91=0,
"Behavior Skills not attempted. Work on interpersonal skills.",
IF(AF91&gt;=4,
"Outstanding Behavior Skills. ",
IF(AF91&gt;=2,
"Good Behavior Skills. ",
"Needs improvement in Behavior Skills. "))) &amp;
IF(AG91=0,
"Role Fitment not attempted. Assess your fit for the role.",
IF(AG91&gt;=4,
"Outstanding Role Fitment. ",
IF(AG91&gt;=2,
"Good Role Fitment. ",
"Needs improvement in Role Fitment. "))))</f>
        <v xml:space="preserve">Good understanding of Values. Outstanding clarity in Career Goals. Outstanding Behavior Skills. Good Role Fitment. </v>
      </c>
      <c r="AL91" s="65">
        <f>SUM(J91,R91,Z91,AH91)</f>
        <v>36</v>
      </c>
      <c r="AM91" s="57">
        <v>36</v>
      </c>
      <c r="AN91" s="70">
        <v>150</v>
      </c>
      <c r="AO91" s="57">
        <v>76</v>
      </c>
      <c r="AP91" s="52" t="str">
        <f>IF(AND(J91=0,R91=0,Z91=0,AH91=0),
"No participation in any assessment. Please ensure participation in future evaluations.",
IF(J91=0,
"Online Assessment not attempted. Focus on improving basic skills.",
IF(J91&gt;=67.5,
"Outstanding performance in Online Assessment. ",
IF(J91&gt;=45,
"Good performance in Online Assessment. ",
"Needs improvement in Online Assessment. "))) &amp;
IF(R91=0,
"Personal Interview not attempted. Active engagement is essential.",
IF(R91&gt;=16,
"Outstanding performance in Personal Interview. ",
IF(R91&gt;=10,
"Good performance in Personal Interview. ",
"Needs improvement in Personal Interview. "))) &amp;
IF(Z91=0,
"GD Round not attempted. Active participation is crucial.",
IF(Z91&gt;=16,
"Outstanding performance in GD Round. ",
IF(Z91&gt;=10,
"Good performance in GD Round. ",
"Needs improvement in GD Round. "))) &amp;
IF(AH91=0,
"HR Round not attempted. Engage in the assessment process.",
IF(AH91&gt;=16,
"Outstanding performance in HR Round. ",
IF(AH91&gt;=10,
"Good performance in HR Round. ",
"Needs improvement in HR Round."))))</f>
        <v xml:space="preserve">Online Assessment not attempted. Focus on improving basic skills.Good performance in Personal Interview. Needs improvement in GD Round. Good performance in HR Round. </v>
      </c>
    </row>
    <row r="92" spans="1:42" ht="15.75" customHeight="1">
      <c r="A92">
        <v>89</v>
      </c>
      <c r="B92" s="39" t="s">
        <v>152</v>
      </c>
      <c r="C92" s="40" t="s">
        <v>153</v>
      </c>
      <c r="D92" s="40">
        <v>9653559892</v>
      </c>
      <c r="E92" s="7" t="s">
        <v>253</v>
      </c>
      <c r="F92" s="7"/>
      <c r="G92" s="7"/>
      <c r="H92" s="7">
        <v>0</v>
      </c>
      <c r="I92" s="7">
        <v>0</v>
      </c>
      <c r="J92" s="28">
        <f>SUM(H92:I92)</f>
        <v>0</v>
      </c>
      <c r="K92" s="56" t="s">
        <v>259</v>
      </c>
      <c r="L92" s="28">
        <v>90</v>
      </c>
      <c r="M92" s="28" t="str">
        <f>IF(H92=0,
"Aptitude section not attempted. ",
IF(H92&gt;=33.75,
"Outstanding performance in Aptitude. ",
IF(H92&gt;=22.5,
"Good performance in Aptitude. ",
"Needs improvement in Aptitude. "))) &amp;
IF(I92=0,
" General MBA Questions section not attempted. ",
IF(I92&gt;=33.75,
" Outstanding performance in General MBA Questions. ",
IF(I92&gt;=22.5,
" Good performance in General MBA Questions. ",
" Needs improvement in General MBA Questions. ")))</f>
        <v xml:space="preserve">Aptitude section not attempted.  General MBA Questions section not attempted. </v>
      </c>
      <c r="N92" s="7">
        <v>4</v>
      </c>
      <c r="O92" s="7">
        <v>3</v>
      </c>
      <c r="P92" s="7">
        <v>2</v>
      </c>
      <c r="Q92" s="7">
        <v>3</v>
      </c>
      <c r="R92" s="41">
        <f>SUM(N92:Q92)</f>
        <v>12</v>
      </c>
      <c r="S92" s="60">
        <v>12</v>
      </c>
      <c r="T92" s="41">
        <v>20</v>
      </c>
      <c r="U92" s="45" t="str">
        <f>IF(AND(N92=0,O92=0,P92=0,Q92=0),
"Personal Interview not attempted. Please ensure participation next time.",
IF(N92=0,
"Self Expression not attempted. Focus on articulating thoughts clearly.",
IF(N92&gt;=4,
"Outstanding Self Expression. ",
IF(N92&gt;=2,
"Good Self Expression. ",
"Needs improvement in Self Expression. "))) &amp;
IF(O92=0,
"Domain Knowledge not attempted. Focus on relevant topics.",
IF(O92&gt;=4,
"Outstanding performance in Domain Knowledge. ",
IF(O92&gt;=2,
"Good performance in Domain Knowledge. ",
"Needs improvement in Domain Knowledge. "))) &amp;
IF(P92=0,
"Thought Process not attempted. Work on organizing your thoughts.",
IF(P92&gt;=4,
"Outstanding Thought Process. ",
IF(P92&gt;=2,
"Good Thought Process. ",
"Needs improvement in Thought Process. "))) &amp;
IF(Q92=0,
"Problem Solving Skills not attempted. Focus on practice.",
IF(Q92&gt;=4,
"Outstanding Problem Solving Skills. ",
IF(Q92&gt;=2,
"Good Problem Solving Skills. ",
"Needs improvement in Problem Solving Skills. "))))</f>
        <v xml:space="preserve">Outstanding Self Expression. Good performance in Domain Knowledge. Good Thought Process. Good Problem Solving Skills. </v>
      </c>
      <c r="V92" s="43">
        <v>2</v>
      </c>
      <c r="W92" s="11">
        <v>2</v>
      </c>
      <c r="X92" s="3">
        <v>2</v>
      </c>
      <c r="Y92" s="87">
        <v>2</v>
      </c>
      <c r="Z92" s="3">
        <f>SUM(V92:Y92)</f>
        <v>8</v>
      </c>
      <c r="AA92" s="57">
        <v>8</v>
      </c>
      <c r="AB92" s="69">
        <v>20</v>
      </c>
      <c r="AC92" s="7" t="str">
        <f>IF(AND(V92=0,W92=0,X92=0,Y92=0),
"GD Round not attempted. Active participation is crucial.",
IF(V92=0,
"Participation not attempted. Engage more in discussions.",
IF(V92&gt;=4,
"Outstanding Participation. ",
IF(V92&gt;=2,
"Good Participation. ",
"Needs improvement in Participation. "))) &amp;
IF(W92=0,
"Communication not attempted. Focus on expressing ideas clearly.",
IF(W92&gt;=4,
"Outstanding Communication. ",
IF(W92&gt;=2,
"Good Communication. ",
"Needs improvement in Communication. "))) &amp;
IF(X92=0,
"Presence of Mind not attempted. Work on staying alert during discussions.",
IF(X92&gt;=4,
"Outstanding Presence of Mind. ",
IF(X92&gt;=2,
"Good Presence of Mind. ",
"Needs improvement in Presence of Mind. "))) &amp;
IF(Y92=0,
"Presentation not attempted. Enhance your presentation skills.",
IF(Y92&gt;=4,
"Outstanding Presentation. ",
IF(Y92&gt;=2,
"Good Presentation. ",
"Needs improvement in Presentation. "))))</f>
        <v xml:space="preserve">Good Participation. Good Communication. Good Presence of Mind. Good Presentation. </v>
      </c>
      <c r="AD92" s="46">
        <v>4</v>
      </c>
      <c r="AE92" s="7">
        <v>5</v>
      </c>
      <c r="AF92" s="87">
        <v>4</v>
      </c>
      <c r="AG92" s="26">
        <v>3</v>
      </c>
      <c r="AH92" s="19">
        <f>SUM(AD92:AG92)</f>
        <v>16</v>
      </c>
      <c r="AI92" s="73">
        <v>16</v>
      </c>
      <c r="AJ92" s="76">
        <v>20</v>
      </c>
      <c r="AK92" s="45" t="str">
        <f>IF(AND(AD92=0,AE92=0,AF92=0,AG92=0),
"HR Round not attempted. It's essential to participate in all assessments.",
IF(AD92=0,
"Values not attempted. Reflect on your core values.",
IF(AD92&gt;=4,
"Outstanding understanding of Values. ",
IF(AD92&gt;=2,
"Good understanding of Values. ",
"Needs improvement in understanding Values. "))) &amp;
IF(AE92=0,
"Career Goal not attempted. Define your career objectives clearly.",
IF(AE92&gt;=4,
"Outstanding clarity in Career Goals. ",
IF(AE92&gt;=2,
"Good clarity in Career Goals. ",
"Needs improvement in defining Career Goals. "))) &amp;
IF(AF92=0,
"Behavior Skills not attempted. Work on interpersonal skills.",
IF(AF92&gt;=4,
"Outstanding Behavior Skills. ",
IF(AF92&gt;=2,
"Good Behavior Skills. ",
"Needs improvement in Behavior Skills. "))) &amp;
IF(AG92=0,
"Role Fitment not attempted. Assess your fit for the role.",
IF(AG92&gt;=4,
"Outstanding Role Fitment. ",
IF(AG92&gt;=2,
"Good Role Fitment. ",
"Needs improvement in Role Fitment. "))))</f>
        <v xml:space="preserve">Outstanding understanding of Values. Outstanding clarity in Career Goals. Outstanding Behavior Skills. Good Role Fitment. </v>
      </c>
      <c r="AL92" s="65">
        <f>SUM(J92,R92,Z92,AH92)</f>
        <v>36</v>
      </c>
      <c r="AM92" s="57">
        <v>36</v>
      </c>
      <c r="AN92" s="70">
        <v>150</v>
      </c>
      <c r="AO92" s="57">
        <v>77</v>
      </c>
      <c r="AP92" s="52" t="str">
        <f>IF(AND(J92=0,R92=0,Z92=0,AH92=0),
"No participation in any assessment. Please ensure participation in future evaluations.",
IF(J92=0,
"Online Assessment not attempted. Focus on improving basic skills.",
IF(J92&gt;=67.5,
"Outstanding performance in Online Assessment. ",
IF(J92&gt;=45,
"Good performance in Online Assessment. ",
"Needs improvement in Online Assessment. "))) &amp;
IF(R92=0,
"Personal Interview not attempted. Active engagement is essential.",
IF(R92&gt;=16,
"Outstanding performance in Personal Interview. ",
IF(R92&gt;=10,
"Good performance in Personal Interview. ",
"Needs improvement in Personal Interview. "))) &amp;
IF(Z92=0,
"GD Round not attempted. Active participation is crucial.",
IF(Z92&gt;=16,
"Outstanding performance in GD Round. ",
IF(Z92&gt;=10,
"Good performance in GD Round. ",
"Needs improvement in GD Round. "))) &amp;
IF(AH92=0,
"HR Round not attempted. Engage in the assessment process.",
IF(AH92&gt;=16,
"Outstanding performance in HR Round. ",
IF(AH92&gt;=10,
"Good performance in HR Round. ",
"Needs improvement in HR Round."))))</f>
        <v xml:space="preserve">Online Assessment not attempted. Focus on improving basic skills.Good performance in Personal Interview. Needs improvement in GD Round. Outstanding performance in HR Round. </v>
      </c>
    </row>
    <row r="93" spans="1:42" ht="15.75" customHeight="1">
      <c r="A93">
        <v>90</v>
      </c>
      <c r="B93" s="39" t="s">
        <v>84</v>
      </c>
      <c r="C93" s="40" t="s">
        <v>85</v>
      </c>
      <c r="D93" s="40">
        <v>9588533504</v>
      </c>
      <c r="E93" s="7" t="s">
        <v>253</v>
      </c>
      <c r="F93" s="6"/>
      <c r="G93" s="6"/>
      <c r="H93" s="7">
        <v>12.2</v>
      </c>
      <c r="I93" s="7">
        <v>19</v>
      </c>
      <c r="J93" s="28">
        <f>SUM(H93:I93)</f>
        <v>31.2</v>
      </c>
      <c r="K93" s="56">
        <v>31.2</v>
      </c>
      <c r="L93" s="28">
        <v>90</v>
      </c>
      <c r="M93" s="28" t="str">
        <f>IF(H93=0,
"Aptitude section not attempted. ",
IF(H93&gt;=33.75,
"Outstanding performance in Aptitude. ",
IF(H93&gt;=22.5,
"Good performance in Aptitude. ",
"Needs improvement in Aptitude. "))) &amp;
IF(I93=0,
" General MBA Questions section not attempted. ",
IF(I93&gt;=33.75,
" Outstanding performance in General MBA Questions. ",
IF(I93&gt;=22.5,
" Good performance in General MBA Questions. ",
" Needs improvement in General MBA Questions. ")))</f>
        <v xml:space="preserve">Needs improvement in Aptitude.  Needs improvement in General MBA Questions. </v>
      </c>
      <c r="N93" s="11">
        <v>0</v>
      </c>
      <c r="O93" s="11">
        <v>0</v>
      </c>
      <c r="P93" s="11">
        <v>0</v>
      </c>
      <c r="Q93" s="11">
        <v>0</v>
      </c>
      <c r="R93" s="41">
        <f>SUM(N93:Q93)</f>
        <v>0</v>
      </c>
      <c r="S93" s="60" t="s">
        <v>259</v>
      </c>
      <c r="T93" s="41">
        <v>20</v>
      </c>
      <c r="U93" s="45" t="str">
        <f>IF(AND(N93=0,O93=0,P93=0,Q93=0),
"Personal Interview not attempted. Please ensure participation next time.",
IF(N93=0,
"Self Expression not attempted. Focus on articulating thoughts clearly.",
IF(N93&gt;=4,
"Outstanding Self Expression. ",
IF(N93&gt;=2,
"Good Self Expression. ",
"Needs improvement in Self Expression. "))) &amp;
IF(O93=0,
"Domain Knowledge not attempted. Focus on relevant topics.",
IF(O93&gt;=4,
"Outstanding performance in Domain Knowledge. ",
IF(O93&gt;=2,
"Good performance in Domain Knowledge. ",
"Needs improvement in Domain Knowledge. "))) &amp;
IF(P93=0,
"Thought Process not attempted. Work on organizing your thoughts.",
IF(P93&gt;=4,
"Outstanding Thought Process. ",
IF(P93&gt;=2,
"Good Thought Process. ",
"Needs improvement in Thought Process. "))) &amp;
IF(Q93=0,
"Problem Solving Skills not attempted. Focus on practice.",
IF(Q93&gt;=4,
"Outstanding Problem Solving Skills. ",
IF(Q93&gt;=2,
"Good Problem Solving Skills. ",
"Needs improvement in Problem Solving Skills. "))))</f>
        <v>Personal Interview not attempted. Please ensure participation next time.</v>
      </c>
      <c r="V93" s="43">
        <v>0</v>
      </c>
      <c r="W93" s="11">
        <v>0</v>
      </c>
      <c r="X93" s="3">
        <v>0</v>
      </c>
      <c r="Y93">
        <v>0</v>
      </c>
      <c r="Z93" s="3">
        <f>SUM(V93:Y93)</f>
        <v>0</v>
      </c>
      <c r="AA93" s="64" t="s">
        <v>259</v>
      </c>
      <c r="AB93" s="69">
        <v>20</v>
      </c>
      <c r="AC93" s="7" t="str">
        <f>IF(AND(V93=0,W93=0,X93=0,Y93=0),
"GD Round not attempted. Active participation is crucial.",
IF(V93=0,
"Participation not attempted. Engage more in discussions.",
IF(V93&gt;=4,
"Outstanding Participation. ",
IF(V93&gt;=2,
"Good Participation. ",
"Needs improvement in Participation. "))) &amp;
IF(W93=0,
"Communication not attempted. Focus on expressing ideas clearly.",
IF(W93&gt;=4,
"Outstanding Communication. ",
IF(W93&gt;=2,
"Good Communication. ",
"Needs improvement in Communication. "))) &amp;
IF(X93=0,
"Presence of Mind not attempted. Work on staying alert during discussions.",
IF(X93&gt;=4,
"Outstanding Presence of Mind. ",
IF(X93&gt;=2,
"Good Presence of Mind. ",
"Needs improvement in Presence of Mind. "))) &amp;
IF(Y93=0,
"Presentation not attempted. Enhance your presentation skills.",
IF(Y93&gt;=4,
"Outstanding Presentation. ",
IF(Y93&gt;=2,
"Good Presentation. ",
"Needs improvement in Presentation. "))))</f>
        <v>GD Round not attempted. Active participation is crucial.</v>
      </c>
      <c r="AD93" s="88">
        <v>0</v>
      </c>
      <c r="AE93" s="88">
        <v>0</v>
      </c>
      <c r="AF93" s="90">
        <v>0</v>
      </c>
      <c r="AG93" s="87">
        <v>0</v>
      </c>
      <c r="AH93" s="19">
        <f>SUM(AD93:AG93)</f>
        <v>0</v>
      </c>
      <c r="AI93" s="73" t="s">
        <v>259</v>
      </c>
      <c r="AJ93" s="76">
        <v>20</v>
      </c>
      <c r="AK93" s="45" t="str">
        <f>IF(AND(AD93=0,AE93=0,AF93=0,AG93=0),
"HR Round not attempted. It's essential to participate in all assessments.",
IF(AD93=0,
"Values not attempted. Reflect on your core values.",
IF(AD93&gt;=4,
"Outstanding understanding of Values. ",
IF(AD93&gt;=2,
"Good understanding of Values. ",
"Needs improvement in understanding Values. "))) &amp;
IF(AE93=0,
"Career Goal not attempted. Define your career objectives clearly.",
IF(AE93&gt;=4,
"Outstanding clarity in Career Goals. ",
IF(AE93&gt;=2,
"Good clarity in Career Goals. ",
"Needs improvement in defining Career Goals. "))) &amp;
IF(AF93=0,
"Behavior Skills not attempted. Work on interpersonal skills.",
IF(AF93&gt;=4,
"Outstanding Behavior Skills. ",
IF(AF93&gt;=2,
"Good Behavior Skills. ",
"Needs improvement in Behavior Skills. "))) &amp;
IF(AG93=0,
"Role Fitment not attempted. Assess your fit for the role.",
IF(AG93&gt;=4,
"Outstanding Role Fitment. ",
IF(AG93&gt;=2,
"Good Role Fitment. ",
"Needs improvement in Role Fitment. "))))</f>
        <v>HR Round not attempted. It's essential to participate in all assessments.</v>
      </c>
      <c r="AL93" s="65">
        <f>SUM(J93,R93,Z93,AH93)</f>
        <v>31.2</v>
      </c>
      <c r="AM93" s="57">
        <v>31.2</v>
      </c>
      <c r="AN93" s="70">
        <v>150</v>
      </c>
      <c r="AO93" s="57">
        <v>81</v>
      </c>
      <c r="AP93" s="52" t="str">
        <f>IF(AND(J93=0,R93=0,Z93=0,AH93=0),
"No participation in any assessment. Please ensure participation in future evaluations.",
IF(J93=0,
"Online Assessment not attempted. Focus on improving basic skills.",
IF(J93&gt;=67.5,
"Outstanding performance in Online Assessment. ",
IF(J93&gt;=45,
"Good performance in Online Assessment. ",
"Needs improvement in Online Assessment. "))) &amp;
IF(R93=0,
"Personal Interview not attempted. Active engagement is essential.",
IF(R93&gt;=16,
"Outstanding performance in Personal Interview. ",
IF(R93&gt;=10,
"Good performance in Personal Interview. ",
"Needs improvement in Personal Interview. "))) &amp;
IF(Z93=0,
"GD Round not attempted. Active participation is crucial.",
IF(Z93&gt;=16,
"Outstanding performance in GD Round. ",
IF(Z93&gt;=10,
"Good performance in GD Round. ",
"Needs improvement in GD Round. "))) &amp;
IF(AH93=0,
"HR Round not attempted. Engage in the assessment process.",
IF(AH93&gt;=16,
"Outstanding performance in HR Round. ",
IF(AH93&gt;=10,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94" spans="1:42" ht="15.75" customHeight="1">
      <c r="A94">
        <v>91</v>
      </c>
      <c r="B94" s="39" t="s">
        <v>150</v>
      </c>
      <c r="C94" s="40" t="s">
        <v>151</v>
      </c>
      <c r="D94" s="40">
        <v>7009612320</v>
      </c>
      <c r="E94" s="7" t="s">
        <v>253</v>
      </c>
      <c r="F94" s="7"/>
      <c r="G94" s="7"/>
      <c r="H94" s="7">
        <v>0</v>
      </c>
      <c r="I94" s="7">
        <v>0</v>
      </c>
      <c r="J94" s="28">
        <f>SUM(H94:I94)</f>
        <v>0</v>
      </c>
      <c r="K94" s="56" t="s">
        <v>259</v>
      </c>
      <c r="L94" s="28">
        <v>90</v>
      </c>
      <c r="M94" s="28" t="str">
        <f>IF(H94=0,
"Aptitude section not attempted. ",
IF(H94&gt;=33.75,
"Outstanding performance in Aptitude. ",
IF(H94&gt;=22.5,
"Good performance in Aptitude. ",
"Needs improvement in Aptitude. "))) &amp;
IF(I94=0,
" General MBA Questions section not attempted. ",
IF(I94&gt;=33.75,
" Outstanding performance in General MBA Questions. ",
IF(I94&gt;=22.5,
" Good performance in General MBA Questions. ",
" Needs improvement in General MBA Questions. ")))</f>
        <v xml:space="preserve">Aptitude section not attempted.  General MBA Questions section not attempted. </v>
      </c>
      <c r="N94" s="11">
        <v>0</v>
      </c>
      <c r="O94" s="11">
        <v>0</v>
      </c>
      <c r="P94" s="11">
        <v>0</v>
      </c>
      <c r="Q94" s="11">
        <v>0</v>
      </c>
      <c r="R94" s="41">
        <f>SUM(N94:Q94)</f>
        <v>0</v>
      </c>
      <c r="S94" s="60" t="s">
        <v>259</v>
      </c>
      <c r="T94" s="41">
        <v>20</v>
      </c>
      <c r="U94" s="45" t="str">
        <f>IF(AND(N94=0,O94=0,P94=0,Q94=0),
"Personal Interview not attempted. Please ensure participation next time.",
IF(N94=0,
"Self Expression not attempted. Focus on articulating thoughts clearly.",
IF(N94&gt;=4,
"Outstanding Self Expression. ",
IF(N94&gt;=2,
"Good Self Expression. ",
"Needs improvement in Self Expression. "))) &amp;
IF(O94=0,
"Domain Knowledge not attempted. Focus on relevant topics.",
IF(O94&gt;=4,
"Outstanding performance in Domain Knowledge. ",
IF(O94&gt;=2,
"Good performance in Domain Knowledge. ",
"Needs improvement in Domain Knowledge. "))) &amp;
IF(P94=0,
"Thought Process not attempted. Work on organizing your thoughts.",
IF(P94&gt;=4,
"Outstanding Thought Process. ",
IF(P94&gt;=2,
"Good Thought Process. ",
"Needs improvement in Thought Process. "))) &amp;
IF(Q94=0,
"Problem Solving Skills not attempted. Focus on practice.",
IF(Q94&gt;=4,
"Outstanding Problem Solving Skills. ",
IF(Q94&gt;=2,
"Good Problem Solving Skills. ",
"Needs improvement in Problem Solving Skills. "))))</f>
        <v>Personal Interview not attempted. Please ensure participation next time.</v>
      </c>
      <c r="V94" s="43">
        <v>4</v>
      </c>
      <c r="W94" s="11">
        <v>3</v>
      </c>
      <c r="X94" s="3">
        <v>4</v>
      </c>
      <c r="Y94" s="88">
        <v>3</v>
      </c>
      <c r="Z94" s="3">
        <f>SUM(V94:Y94)</f>
        <v>14</v>
      </c>
      <c r="AA94" s="57">
        <v>14</v>
      </c>
      <c r="AB94" s="69">
        <v>20</v>
      </c>
      <c r="AC94" s="7" t="str">
        <f>IF(AND(V94=0,W94=0,X94=0,Y94=0),
"GD Round not attempted. Active participation is crucial.",
IF(V94=0,
"Participation not attempted. Engage more in discussions.",
IF(V94&gt;=4,
"Outstanding Participation. ",
IF(V94&gt;=2,
"Good Participation. ",
"Needs improvement in Participation. "))) &amp;
IF(W94=0,
"Communication not attempted. Focus on expressing ideas clearly.",
IF(W94&gt;=4,
"Outstanding Communication. ",
IF(W94&gt;=2,
"Good Communication. ",
"Needs improvement in Communication. "))) &amp;
IF(X94=0,
"Presence of Mind not attempted. Work on staying alert during discussions.",
IF(X94&gt;=4,
"Outstanding Presence of Mind. ",
IF(X94&gt;=2,
"Good Presence of Mind. ",
"Needs improvement in Presence of Mind. "))) &amp;
IF(Y94=0,
"Presentation not attempted. Enhance your presentation skills.",
IF(Y94&gt;=4,
"Outstanding Presentation. ",
IF(Y94&gt;=2,
"Good Presentation. ",
"Needs improvement in Presentation. "))))</f>
        <v xml:space="preserve">Outstanding Participation. Good Communication. Outstanding Presence of Mind. Good Presentation. </v>
      </c>
      <c r="AD94" s="87">
        <v>4</v>
      </c>
      <c r="AE94" s="87">
        <v>4</v>
      </c>
      <c r="AF94">
        <v>4</v>
      </c>
      <c r="AG94" s="87">
        <v>4</v>
      </c>
      <c r="AH94" s="19">
        <f>SUM(AD94:AG94)</f>
        <v>16</v>
      </c>
      <c r="AI94" s="73">
        <v>16</v>
      </c>
      <c r="AJ94" s="76">
        <v>20</v>
      </c>
      <c r="AK94" s="45" t="str">
        <f>IF(AND(AD94=0,AE94=0,AF94=0,AG94=0),
"HR Round not attempted. It's essential to participate in all assessments.",
IF(AD94=0,
"Values not attempted. Reflect on your core values.",
IF(AD94&gt;=4,
"Outstanding understanding of Values. ",
IF(AD94&gt;=2,
"Good understanding of Values. ",
"Needs improvement in understanding Values. "))) &amp;
IF(AE94=0,
"Career Goal not attempted. Define your career objectives clearly.",
IF(AE94&gt;=4,
"Outstanding clarity in Career Goals. ",
IF(AE94&gt;=2,
"Good clarity in Career Goals. ",
"Needs improvement in defining Career Goals. "))) &amp;
IF(AF94=0,
"Behavior Skills not attempted. Work on interpersonal skills.",
IF(AF94&gt;=4,
"Outstanding Behavior Skills. ",
IF(AF94&gt;=2,
"Good Behavior Skills. ",
"Needs improvement in Behavior Skills. "))) &amp;
IF(AG94=0,
"Role Fitment not attempted. Assess your fit for the role.",
IF(AG94&gt;=4,
"Outstanding Role Fitment. ",
IF(AG94&gt;=2,
"Good Role Fitment. ",
"Needs improvement in Role Fitment. "))))</f>
        <v xml:space="preserve">Outstanding understanding of Values. Outstanding clarity in Career Goals. Outstanding Behavior Skills. Outstanding Role Fitment. </v>
      </c>
      <c r="AL94" s="65">
        <f>SUM(J94,R94,Z94,AH94)</f>
        <v>30</v>
      </c>
      <c r="AM94" s="57">
        <v>30</v>
      </c>
      <c r="AN94" s="70">
        <v>150</v>
      </c>
      <c r="AO94" s="57">
        <v>82</v>
      </c>
      <c r="AP94" s="52" t="str">
        <f>IF(AND(J94=0,R94=0,Z94=0,AH94=0),
"No participation in any assessment. Please ensure participation in future evaluations.",
IF(J94=0,
"Online Assessment not attempted. Focus on improving basic skills.",
IF(J94&gt;=67.5,
"Outstanding performance in Online Assessment. ",
IF(J94&gt;=45,
"Good performance in Online Assessment. ",
"Needs improvement in Online Assessment. "))) &amp;
IF(R94=0,
"Personal Interview not attempted. Active engagement is essential.",
IF(R94&gt;=16,
"Outstanding performance in Personal Interview. ",
IF(R94&gt;=10,
"Good performance in Personal Interview. ",
"Needs improvement in Personal Interview. "))) &amp;
IF(Z94=0,
"GD Round not attempted. Active participation is crucial.",
IF(Z94&gt;=16,
"Outstanding performance in GD Round. ",
IF(Z94&gt;=10,
"Good performance in GD Round. ",
"Needs improvement in GD Round. "))) &amp;
IF(AH94=0,
"HR Round not attempted. Engage in the assessment process.",
IF(AH94&gt;=16,
"Outstanding performance in HR Round. ",
IF(AH94&gt;=10,
"Good performance in HR Round. ",
"Needs improvement in HR Round."))))</f>
        <v xml:space="preserve">Online Assessment not attempted. Focus on improving basic skills.Personal Interview not attempted. Active engagement is essential.Good performance in GD Round. Outstanding performance in HR Round. </v>
      </c>
    </row>
    <row r="95" spans="1:42" ht="15.75" customHeight="1">
      <c r="A95">
        <v>92</v>
      </c>
      <c r="B95" s="39" t="s">
        <v>192</v>
      </c>
      <c r="C95" s="40" t="s">
        <v>193</v>
      </c>
      <c r="D95" s="40">
        <v>8264244360</v>
      </c>
      <c r="E95" s="7" t="s">
        <v>253</v>
      </c>
      <c r="F95" s="7"/>
      <c r="G95" s="7"/>
      <c r="H95" s="7">
        <v>8.9</v>
      </c>
      <c r="I95" s="7">
        <v>19</v>
      </c>
      <c r="J95" s="28">
        <f>SUM(H95:I95)</f>
        <v>27.9</v>
      </c>
      <c r="K95" s="56">
        <v>27.9</v>
      </c>
      <c r="L95" s="28">
        <v>90</v>
      </c>
      <c r="M95" s="28" t="str">
        <f>IF(H95=0,
"Aptitude section not attempted. ",
IF(H95&gt;=33.75,
"Outstanding performance in Aptitude. ",
IF(H95&gt;=22.5,
"Good performance in Aptitude. ",
"Needs improvement in Aptitude. "))) &amp;
IF(I95=0,
" General MBA Questions section not attempted. ",
IF(I95&gt;=33.75,
" Outstanding performance in General MBA Questions. ",
IF(I95&gt;=22.5,
" Good performance in General MBA Questions. ",
" Needs improvement in General MBA Questions. ")))</f>
        <v xml:space="preserve">Needs improvement in Aptitude.  Needs improvement in General MBA Questions. </v>
      </c>
      <c r="N95" s="11">
        <v>0</v>
      </c>
      <c r="O95" s="11">
        <v>0</v>
      </c>
      <c r="P95" s="11">
        <v>0</v>
      </c>
      <c r="Q95" s="11">
        <v>0</v>
      </c>
      <c r="R95" s="41">
        <f>SUM(N95:Q95)</f>
        <v>0</v>
      </c>
      <c r="S95" s="60" t="s">
        <v>259</v>
      </c>
      <c r="T95" s="41">
        <v>20</v>
      </c>
      <c r="U95" s="45" t="str">
        <f>IF(AND(N95=0,O95=0,P95=0,Q95=0),
"Personal Interview not attempted. Please ensure participation next time.",
IF(N95=0,
"Self Expression not attempted. Focus on articulating thoughts clearly.",
IF(N95&gt;=4,
"Outstanding Self Expression. ",
IF(N95&gt;=2,
"Good Self Expression. ",
"Needs improvement in Self Expression. "))) &amp;
IF(O95=0,
"Domain Knowledge not attempted. Focus on relevant topics.",
IF(O95&gt;=4,
"Outstanding performance in Domain Knowledge. ",
IF(O95&gt;=2,
"Good performance in Domain Knowledge. ",
"Needs improvement in Domain Knowledge. "))) &amp;
IF(P95=0,
"Thought Process not attempted. Work on organizing your thoughts.",
IF(P95&gt;=4,
"Outstanding Thought Process. ",
IF(P95&gt;=2,
"Good Thought Process. ",
"Needs improvement in Thought Process. "))) &amp;
IF(Q95=0,
"Problem Solving Skills not attempted. Focus on practice.",
IF(Q95&gt;=4,
"Outstanding Problem Solving Skills. ",
IF(Q95&gt;=2,
"Good Problem Solving Skills. ",
"Needs improvement in Problem Solving Skills. "))))</f>
        <v>Personal Interview not attempted. Please ensure participation next time.</v>
      </c>
      <c r="V95" s="43">
        <v>0</v>
      </c>
      <c r="W95" s="11">
        <v>0</v>
      </c>
      <c r="X95" s="3">
        <v>0</v>
      </c>
      <c r="Y95" s="26">
        <v>0</v>
      </c>
      <c r="Z95" s="3">
        <f>SUM(V95:Y95)</f>
        <v>0</v>
      </c>
      <c r="AA95" s="64" t="s">
        <v>259</v>
      </c>
      <c r="AB95" s="69">
        <v>20</v>
      </c>
      <c r="AC95" s="7" t="str">
        <f>IF(AND(V95=0,W95=0,X95=0,Y95=0),
"GD Round not attempted. Active participation is crucial.",
IF(V95=0,
"Participation not attempted. Engage more in discussions.",
IF(V95&gt;=4,
"Outstanding Participation. ",
IF(V95&gt;=2,
"Good Participation. ",
"Needs improvement in Participation. "))) &amp;
IF(W95=0,
"Communication not attempted. Focus on expressing ideas clearly.",
IF(W95&gt;=4,
"Outstanding Communication. ",
IF(W95&gt;=2,
"Good Communication. ",
"Needs improvement in Communication. "))) &amp;
IF(X95=0,
"Presence of Mind not attempted. Work on staying alert during discussions.",
IF(X95&gt;=4,
"Outstanding Presence of Mind. ",
IF(X95&gt;=2,
"Good Presence of Mind. ",
"Needs improvement in Presence of Mind. "))) &amp;
IF(Y95=0,
"Presentation not attempted. Enhance your presentation skills.",
IF(Y95&gt;=4,
"Outstanding Presentation. ",
IF(Y95&gt;=2,
"Good Presentation. ",
"Needs improvement in Presentation. "))))</f>
        <v>GD Round not attempted. Active participation is crucial.</v>
      </c>
      <c r="AD95" s="43">
        <v>0</v>
      </c>
      <c r="AE95" s="11">
        <v>0</v>
      </c>
      <c r="AF95" s="3">
        <v>0</v>
      </c>
      <c r="AG95" s="26">
        <v>0</v>
      </c>
      <c r="AH95" s="19">
        <f>SUM(AD95:AG95)</f>
        <v>0</v>
      </c>
      <c r="AI95" s="73" t="s">
        <v>259</v>
      </c>
      <c r="AJ95" s="76">
        <v>20</v>
      </c>
      <c r="AK95" s="45" t="str">
        <f>IF(AND(AD95=0,AE95=0,AF95=0,AG95=0),
"HR Round not attempted. It's essential to participate in all assessments.",
IF(AD95=0,
"Values not attempted. Reflect on your core values.",
IF(AD95&gt;=4,
"Outstanding understanding of Values. ",
IF(AD95&gt;=2,
"Good understanding of Values. ",
"Needs improvement in understanding Values. "))) &amp;
IF(AE95=0,
"Career Goal not attempted. Define your career objectives clearly.",
IF(AE95&gt;=4,
"Outstanding clarity in Career Goals. ",
IF(AE95&gt;=2,
"Good clarity in Career Goals. ",
"Needs improvement in defining Career Goals. "))) &amp;
IF(AF95=0,
"Behavior Skills not attempted. Work on interpersonal skills.",
IF(AF95&gt;=4,
"Outstanding Behavior Skills. ",
IF(AF95&gt;=2,
"Good Behavior Skills. ",
"Needs improvement in Behavior Skills. "))) &amp;
IF(AG95=0,
"Role Fitment not attempted. Assess your fit for the role.",
IF(AG95&gt;=4,
"Outstanding Role Fitment. ",
IF(AG95&gt;=2,
"Good Role Fitment. ",
"Needs improvement in Role Fitment. "))))</f>
        <v>HR Round not attempted. It's essential to participate in all assessments.</v>
      </c>
      <c r="AL95" s="65">
        <f>SUM(J95,R95,Z95,AH95)</f>
        <v>27.9</v>
      </c>
      <c r="AM95" s="57">
        <v>27.9</v>
      </c>
      <c r="AN95" s="70">
        <v>150</v>
      </c>
      <c r="AO95" s="57">
        <v>83</v>
      </c>
      <c r="AP95" s="52" t="str">
        <f>IF(AND(J95=0,R95=0,Z95=0,AH95=0),
"No participation in any assessment. Please ensure participation in future evaluations.",
IF(J95=0,
"Online Assessment not attempted. Focus on improving basic skills.",
IF(J95&gt;=67.5,
"Outstanding performance in Online Assessment. ",
IF(J95&gt;=45,
"Good performance in Online Assessment. ",
"Needs improvement in Online Assessment. "))) &amp;
IF(R95=0,
"Personal Interview not attempted. Active engagement is essential.",
IF(R95&gt;=16,
"Outstanding performance in Personal Interview. ",
IF(R95&gt;=10,
"Good performance in Personal Interview. ",
"Needs improvement in Personal Interview. "))) &amp;
IF(Z95=0,
"GD Round not attempted. Active participation is crucial.",
IF(Z95&gt;=16,
"Outstanding performance in GD Round. ",
IF(Z95&gt;=10,
"Good performance in GD Round. ",
"Needs improvement in GD Round. "))) &amp;
IF(AH95=0,
"HR Round not attempted. Engage in the assessment process.",
IF(AH95&gt;=16,
"Outstanding performance in HR Round. ",
IF(AH95&gt;=10,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96" spans="1:42" ht="15.75" customHeight="1">
      <c r="A96">
        <v>93</v>
      </c>
      <c r="B96" s="39" t="s">
        <v>25</v>
      </c>
      <c r="C96" s="40" t="s">
        <v>26</v>
      </c>
      <c r="D96" s="40">
        <v>9501030006</v>
      </c>
      <c r="E96" s="7" t="s">
        <v>253</v>
      </c>
      <c r="F96" s="4"/>
      <c r="G96" s="4"/>
      <c r="H96" s="7">
        <v>0</v>
      </c>
      <c r="I96" s="7">
        <v>0</v>
      </c>
      <c r="J96" s="28">
        <f>SUM(H96:I96)</f>
        <v>0</v>
      </c>
      <c r="K96" s="56" t="s">
        <v>259</v>
      </c>
      <c r="L96" s="28">
        <v>90</v>
      </c>
      <c r="M96" s="28" t="str">
        <f>IF(H96=0,
"Aptitude section not attempted. ",
IF(H96&gt;=33.75,
"Outstanding performance in Aptitude. ",
IF(H96&gt;=22.5,
"Good performance in Aptitude. ",
"Needs improvement in Aptitude. "))) &amp;
IF(I96=0,
" General MBA Questions section not attempted. ",
IF(I96&gt;=33.75,
" Outstanding performance in General MBA Questions. ",
IF(I96&gt;=22.5,
" Good performance in General MBA Questions. ",
" Needs improvement in General MBA Questions. ")))</f>
        <v xml:space="preserve">Aptitude section not attempted.  General MBA Questions section not attempted. </v>
      </c>
      <c r="N96" s="11">
        <v>0</v>
      </c>
      <c r="O96" s="11">
        <v>0</v>
      </c>
      <c r="P96" s="11">
        <v>0</v>
      </c>
      <c r="Q96" s="11">
        <v>0</v>
      </c>
      <c r="R96" s="41">
        <f>SUM(N96:Q96)</f>
        <v>0</v>
      </c>
      <c r="S96" s="60" t="s">
        <v>259</v>
      </c>
      <c r="T96" s="41">
        <v>20</v>
      </c>
      <c r="U96" s="45" t="str">
        <f>IF(AND(N96=0,O96=0,P96=0,Q96=0),
"Personal Interview not attempted. Please ensure participation next time.",
IF(N96=0,
"Self Expression not attempted. Focus on articulating thoughts clearly.",
IF(N96&gt;=4,
"Outstanding Self Expression. ",
IF(N96&gt;=2,
"Good Self Expression. ",
"Needs improvement in Self Expression. "))) &amp;
IF(O96=0,
"Domain Knowledge not attempted. Focus on relevant topics.",
IF(O96&gt;=4,
"Outstanding performance in Domain Knowledge. ",
IF(O96&gt;=2,
"Good performance in Domain Knowledge. ",
"Needs improvement in Domain Knowledge. "))) &amp;
IF(P96=0,
"Thought Process not attempted. Work on organizing your thoughts.",
IF(P96&gt;=4,
"Outstanding Thought Process. ",
IF(P96&gt;=2,
"Good Thought Process. ",
"Needs improvement in Thought Process. "))) &amp;
IF(Q96=0,
"Problem Solving Skills not attempted. Focus on practice.",
IF(Q96&gt;=4,
"Outstanding Problem Solving Skills. ",
IF(Q96&gt;=2,
"Good Problem Solving Skills. ",
"Needs improvement in Problem Solving Skills. "))))</f>
        <v>Personal Interview not attempted. Please ensure participation next time.</v>
      </c>
      <c r="V96" s="43">
        <v>3</v>
      </c>
      <c r="W96" s="11">
        <v>3</v>
      </c>
      <c r="X96" s="3">
        <v>3</v>
      </c>
      <c r="Y96" s="87">
        <v>2</v>
      </c>
      <c r="Z96" s="3">
        <f>SUM(V96:Y96)</f>
        <v>11</v>
      </c>
      <c r="AA96" s="57">
        <v>11</v>
      </c>
      <c r="AB96" s="69">
        <v>20</v>
      </c>
      <c r="AC96" s="7" t="str">
        <f>IF(AND(V96=0,W96=0,X96=0,Y96=0),
"GD Round not attempted. Active participation is crucial.",
IF(V96=0,
"Participation not attempted. Engage more in discussions.",
IF(V96&gt;=4,
"Outstanding Participation. ",
IF(V96&gt;=2,
"Good Participation. ",
"Needs improvement in Participation. "))) &amp;
IF(W96=0,
"Communication not attempted. Focus on expressing ideas clearly.",
IF(W96&gt;=4,
"Outstanding Communication. ",
IF(W96&gt;=2,
"Good Communication. ",
"Needs improvement in Communication. "))) &amp;
IF(X96=0,
"Presence of Mind not attempted. Work on staying alert during discussions.",
IF(X96&gt;=4,
"Outstanding Presence of Mind. ",
IF(X96&gt;=2,
"Good Presence of Mind. ",
"Needs improvement in Presence of Mind. "))) &amp;
IF(Y96=0,
"Presentation not attempted. Enhance your presentation skills.",
IF(Y96&gt;=4,
"Outstanding Presentation. ",
IF(Y96&gt;=2,
"Good Presentation. ",
"Needs improvement in Presentation. "))))</f>
        <v xml:space="preserve">Good Participation. Good Communication. Good Presence of Mind. Good Presentation. </v>
      </c>
      <c r="AD96" s="88">
        <v>4</v>
      </c>
      <c r="AE96" s="88">
        <v>4</v>
      </c>
      <c r="AF96" s="88">
        <v>4</v>
      </c>
      <c r="AG96" s="88">
        <v>4</v>
      </c>
      <c r="AH96" s="19">
        <f>SUM(AD96:AG96)</f>
        <v>16</v>
      </c>
      <c r="AI96" s="73">
        <v>16</v>
      </c>
      <c r="AJ96" s="76">
        <v>20</v>
      </c>
      <c r="AK96" s="45" t="str">
        <f>IF(AND(AD96=0,AE96=0,AF96=0,AG96=0),
"HR Round not attempted. It's essential to participate in all assessments.",
IF(AD96=0,
"Values not attempted. Reflect on your core values.",
IF(AD96&gt;=4,
"Outstanding understanding of Values. ",
IF(AD96&gt;=2,
"Good understanding of Values. ",
"Needs improvement in understanding Values. "))) &amp;
IF(AE96=0,
"Career Goal not attempted. Define your career objectives clearly.",
IF(AE96&gt;=4,
"Outstanding clarity in Career Goals. ",
IF(AE96&gt;=2,
"Good clarity in Career Goals. ",
"Needs improvement in defining Career Goals. "))) &amp;
IF(AF96=0,
"Behavior Skills not attempted. Work on interpersonal skills.",
IF(AF96&gt;=4,
"Outstanding Behavior Skills. ",
IF(AF96&gt;=2,
"Good Behavior Skills. ",
"Needs improvement in Behavior Skills. "))) &amp;
IF(AG96=0,
"Role Fitment not attempted. Assess your fit for the role.",
IF(AG96&gt;=4,
"Outstanding Role Fitment. ",
IF(AG96&gt;=2,
"Good Role Fitment. ",
"Needs improvement in Role Fitment. "))))</f>
        <v xml:space="preserve">Outstanding understanding of Values. Outstanding clarity in Career Goals. Outstanding Behavior Skills. Outstanding Role Fitment. </v>
      </c>
      <c r="AL96" s="65">
        <f>SUM(J96,R96,Z96,AH96)</f>
        <v>27</v>
      </c>
      <c r="AM96" s="57">
        <v>27</v>
      </c>
      <c r="AN96" s="70">
        <v>150</v>
      </c>
      <c r="AO96" s="57">
        <v>84</v>
      </c>
      <c r="AP96" s="52" t="str">
        <f>IF(AND(J96=0,R96=0,Z96=0,AH96=0),
"No participation in any assessment. Please ensure participation in future evaluations.",
IF(J96=0,
"Online Assessment not attempted. Focus on improving basic skills.",
IF(J96&gt;=67.5,
"Outstanding performance in Online Assessment. ",
IF(J96&gt;=45,
"Good performance in Online Assessment. ",
"Needs improvement in Online Assessment. "))) &amp;
IF(R96=0,
"Personal Interview not attempted. Active engagement is essential.",
IF(R96&gt;=16,
"Outstanding performance in Personal Interview. ",
IF(R96&gt;=10,
"Good performance in Personal Interview. ",
"Needs improvement in Personal Interview. "))) &amp;
IF(Z96=0,
"GD Round not attempted. Active participation is crucial.",
IF(Z96&gt;=16,
"Outstanding performance in GD Round. ",
IF(Z96&gt;=10,
"Good performance in GD Round. ",
"Needs improvement in GD Round. "))) &amp;
IF(AH96=0,
"HR Round not attempted. Engage in the assessment process.",
IF(AH96&gt;=16,
"Outstanding performance in HR Round. ",
IF(AH96&gt;=10,
"Good performance in HR Round. ",
"Needs improvement in HR Round."))))</f>
        <v xml:space="preserve">Online Assessment not attempted. Focus on improving basic skills.Personal Interview not attempted. Active engagement is essential.Good performance in GD Round. Outstanding performance in HR Round. </v>
      </c>
    </row>
    <row r="97" spans="1:42" ht="15.75" customHeight="1">
      <c r="A97">
        <v>94</v>
      </c>
      <c r="B97" s="39" t="s">
        <v>190</v>
      </c>
      <c r="C97" s="40" t="s">
        <v>191</v>
      </c>
      <c r="D97" s="40">
        <v>8630596925</v>
      </c>
      <c r="E97" s="7" t="s">
        <v>253</v>
      </c>
      <c r="F97" s="7"/>
      <c r="G97" s="7"/>
      <c r="H97" s="7">
        <v>15.1</v>
      </c>
      <c r="I97" s="7">
        <v>11</v>
      </c>
      <c r="J97" s="28">
        <f>SUM(H97:I97)</f>
        <v>26.1</v>
      </c>
      <c r="K97" s="56">
        <v>26.1</v>
      </c>
      <c r="L97" s="28">
        <v>90</v>
      </c>
      <c r="M97" s="28" t="str">
        <f>IF(H97=0,
"Aptitude section not attempted. ",
IF(H97&gt;=33.75,
"Outstanding performance in Aptitude. ",
IF(H97&gt;=22.5,
"Good performance in Aptitude. ",
"Needs improvement in Aptitude. "))) &amp;
IF(I97=0,
" General MBA Questions section not attempted. ",
IF(I97&gt;=33.75,
" Outstanding performance in General MBA Questions. ",
IF(I97&gt;=22.5,
" Good performance in General MBA Questions. ",
" Needs improvement in General MBA Questions. ")))</f>
        <v xml:space="preserve">Needs improvement in Aptitude.  Needs improvement in General MBA Questions. </v>
      </c>
      <c r="N97" s="11">
        <v>0</v>
      </c>
      <c r="O97" s="11">
        <v>0</v>
      </c>
      <c r="P97" s="11">
        <v>0</v>
      </c>
      <c r="Q97" s="11">
        <v>0</v>
      </c>
      <c r="R97" s="41">
        <f>SUM(N97:Q97)</f>
        <v>0</v>
      </c>
      <c r="S97" s="60" t="s">
        <v>259</v>
      </c>
      <c r="T97" s="41">
        <v>20</v>
      </c>
      <c r="U97" s="45" t="str">
        <f>IF(AND(N97=0,O97=0,P97=0,Q97=0),
"Personal Interview not attempted. Please ensure participation next time.",
IF(N97=0,
"Self Expression not attempted. Focus on articulating thoughts clearly.",
IF(N97&gt;=4,
"Outstanding Self Expression. ",
IF(N97&gt;=2,
"Good Self Expression. ",
"Needs improvement in Self Expression. "))) &amp;
IF(O97=0,
"Domain Knowledge not attempted. Focus on relevant topics.",
IF(O97&gt;=4,
"Outstanding performance in Domain Knowledge. ",
IF(O97&gt;=2,
"Good performance in Domain Knowledge. ",
"Needs improvement in Domain Knowledge. "))) &amp;
IF(P97=0,
"Thought Process not attempted. Work on organizing your thoughts.",
IF(P97&gt;=4,
"Outstanding Thought Process. ",
IF(P97&gt;=2,
"Good Thought Process. ",
"Needs improvement in Thought Process. "))) &amp;
IF(Q97=0,
"Problem Solving Skills not attempted. Focus on practice.",
IF(Q97&gt;=4,
"Outstanding Problem Solving Skills. ",
IF(Q97&gt;=2,
"Good Problem Solving Skills. ",
"Needs improvement in Problem Solving Skills. "))))</f>
        <v>Personal Interview not attempted. Please ensure participation next time.</v>
      </c>
      <c r="V97" s="43">
        <v>0</v>
      </c>
      <c r="W97" s="11">
        <v>0</v>
      </c>
      <c r="X97" s="3">
        <v>0</v>
      </c>
      <c r="Y97">
        <v>0</v>
      </c>
      <c r="Z97" s="3">
        <f>SUM(V97:Y97)</f>
        <v>0</v>
      </c>
      <c r="AA97" s="64" t="s">
        <v>259</v>
      </c>
      <c r="AB97" s="69">
        <v>20</v>
      </c>
      <c r="AC97" s="7" t="str">
        <f>IF(AND(V97=0,W97=0,X97=0,Y97=0),
"GD Round not attempted. Active participation is crucial.",
IF(V97=0,
"Participation not attempted. Engage more in discussions.",
IF(V97&gt;=4,
"Outstanding Participation. ",
IF(V97&gt;=2,
"Good Participation. ",
"Needs improvement in Participation. "))) &amp;
IF(W97=0,
"Communication not attempted. Focus on expressing ideas clearly.",
IF(W97&gt;=4,
"Outstanding Communication. ",
IF(W97&gt;=2,
"Good Communication. ",
"Needs improvement in Communication. "))) &amp;
IF(X97=0,
"Presence of Mind not attempted. Work on staying alert during discussions.",
IF(X97&gt;=4,
"Outstanding Presence of Mind. ",
IF(X97&gt;=2,
"Good Presence of Mind. ",
"Needs improvement in Presence of Mind. "))) &amp;
IF(Y97=0,
"Presentation not attempted. Enhance your presentation skills.",
IF(Y97&gt;=4,
"Outstanding Presentation. ",
IF(Y97&gt;=2,
"Good Presentation. ",
"Needs improvement in Presentation. "))))</f>
        <v>GD Round not attempted. Active participation is crucial.</v>
      </c>
      <c r="AD97" s="88">
        <v>0</v>
      </c>
      <c r="AE97" s="88">
        <v>0</v>
      </c>
      <c r="AF97" s="90">
        <v>0</v>
      </c>
      <c r="AG97" s="87">
        <v>0</v>
      </c>
      <c r="AH97" s="19">
        <f>SUM(AD97:AG97)</f>
        <v>0</v>
      </c>
      <c r="AI97" s="73" t="s">
        <v>259</v>
      </c>
      <c r="AJ97" s="76">
        <v>20</v>
      </c>
      <c r="AK97" s="45" t="str">
        <f>IF(AND(AD97=0,AE97=0,AF97=0,AG97=0),
"HR Round not attempted. It's essential to participate in all assessments.",
IF(AD97=0,
"Values not attempted. Reflect on your core values.",
IF(AD97&gt;=4,
"Outstanding understanding of Values. ",
IF(AD97&gt;=2,
"Good understanding of Values. ",
"Needs improvement in understanding Values. "))) &amp;
IF(AE97=0,
"Career Goal not attempted. Define your career objectives clearly.",
IF(AE97&gt;=4,
"Outstanding clarity in Career Goals. ",
IF(AE97&gt;=2,
"Good clarity in Career Goals. ",
"Needs improvement in defining Career Goals. "))) &amp;
IF(AF97=0,
"Behavior Skills not attempted. Work on interpersonal skills.",
IF(AF97&gt;=4,
"Outstanding Behavior Skills. ",
IF(AF97&gt;=2,
"Good Behavior Skills. ",
"Needs improvement in Behavior Skills. "))) &amp;
IF(AG97=0,
"Role Fitment not attempted. Assess your fit for the role.",
IF(AG97&gt;=4,
"Outstanding Role Fitment. ",
IF(AG97&gt;=2,
"Good Role Fitment. ",
"Needs improvement in Role Fitment. "))))</f>
        <v>HR Round not attempted. It's essential to participate in all assessments.</v>
      </c>
      <c r="AL97" s="65">
        <f>SUM(J97,R97,Z97,AH97)</f>
        <v>26.1</v>
      </c>
      <c r="AM97" s="57">
        <v>26.1</v>
      </c>
      <c r="AN97" s="70">
        <v>150</v>
      </c>
      <c r="AO97" s="57">
        <v>85</v>
      </c>
      <c r="AP97" s="52" t="str">
        <f>IF(AND(J97=0,R97=0,Z97=0,AH97=0),
"No participation in any assessment. Please ensure participation in future evaluations.",
IF(J97=0,
"Online Assessment not attempted. Focus on improving basic skills.",
IF(J97&gt;=67.5,
"Outstanding performance in Online Assessment. ",
IF(J97&gt;=45,
"Good performance in Online Assessment. ",
"Needs improvement in Online Assessment. "))) &amp;
IF(R97=0,
"Personal Interview not attempted. Active engagement is essential.",
IF(R97&gt;=16,
"Outstanding performance in Personal Interview. ",
IF(R97&gt;=10,
"Good performance in Personal Interview. ",
"Needs improvement in Personal Interview. "))) &amp;
IF(Z97=0,
"GD Round not attempted. Active participation is crucial.",
IF(Z97&gt;=16,
"Outstanding performance in GD Round. ",
IF(Z97&gt;=10,
"Good performance in GD Round. ",
"Needs improvement in GD Round. "))) &amp;
IF(AH97=0,
"HR Round not attempted. Engage in the assessment process.",
IF(AH97&gt;=16,
"Outstanding performance in HR Round. ",
IF(AH97&gt;=10,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98" spans="1:42" ht="15.75" customHeight="1">
      <c r="A98">
        <v>95</v>
      </c>
      <c r="B98" s="39" t="s">
        <v>180</v>
      </c>
      <c r="C98" s="40" t="s">
        <v>181</v>
      </c>
      <c r="D98" s="40">
        <v>9815680001</v>
      </c>
      <c r="E98" s="7" t="s">
        <v>253</v>
      </c>
      <c r="F98" s="7"/>
      <c r="G98" s="7"/>
      <c r="H98" s="7">
        <v>10.65</v>
      </c>
      <c r="I98" s="7">
        <v>13</v>
      </c>
      <c r="J98" s="28">
        <f>SUM(H98:I98)</f>
        <v>23.65</v>
      </c>
      <c r="K98" s="56">
        <v>23.65</v>
      </c>
      <c r="L98" s="28">
        <v>90</v>
      </c>
      <c r="M98" s="28" t="str">
        <f>IF(H98=0,
"Aptitude section not attempted. ",
IF(H98&gt;=33.75,
"Outstanding performance in Aptitude. ",
IF(H98&gt;=22.5,
"Good performance in Aptitude. ",
"Needs improvement in Aptitude. "))) &amp;
IF(I98=0,
" General MBA Questions section not attempted. ",
IF(I98&gt;=33.75,
" Outstanding performance in General MBA Questions. ",
IF(I98&gt;=22.5,
" Good performance in General MBA Questions. ",
" Needs improvement in General MBA Questions. ")))</f>
        <v xml:space="preserve">Needs improvement in Aptitude.  Needs improvement in General MBA Questions. </v>
      </c>
      <c r="N98" s="11">
        <v>0</v>
      </c>
      <c r="O98" s="11">
        <v>0</v>
      </c>
      <c r="P98" s="11">
        <v>0</v>
      </c>
      <c r="Q98" s="11">
        <v>0</v>
      </c>
      <c r="R98" s="41">
        <f>SUM(N98:Q98)</f>
        <v>0</v>
      </c>
      <c r="S98" s="60" t="s">
        <v>259</v>
      </c>
      <c r="T98" s="41">
        <v>20</v>
      </c>
      <c r="U98" s="45" t="str">
        <f>IF(AND(N98=0,O98=0,P98=0,Q98=0),
"Personal Interview not attempted. Please ensure participation next time.",
IF(N98=0,
"Self Expression not attempted. Focus on articulating thoughts clearly.",
IF(N98&gt;=4,
"Outstanding Self Expression. ",
IF(N98&gt;=2,
"Good Self Expression. ",
"Needs improvement in Self Expression. "))) &amp;
IF(O98=0,
"Domain Knowledge not attempted. Focus on relevant topics.",
IF(O98&gt;=4,
"Outstanding performance in Domain Knowledge. ",
IF(O98&gt;=2,
"Good performance in Domain Knowledge. ",
"Needs improvement in Domain Knowledge. "))) &amp;
IF(P98=0,
"Thought Process not attempted. Work on organizing your thoughts.",
IF(P98&gt;=4,
"Outstanding Thought Process. ",
IF(P98&gt;=2,
"Good Thought Process. ",
"Needs improvement in Thought Process. "))) &amp;
IF(Q98=0,
"Problem Solving Skills not attempted. Focus on practice.",
IF(Q98&gt;=4,
"Outstanding Problem Solving Skills. ",
IF(Q98&gt;=2,
"Good Problem Solving Skills. ",
"Needs improvement in Problem Solving Skills. "))))</f>
        <v>Personal Interview not attempted. Please ensure participation next time.</v>
      </c>
      <c r="V98" s="43">
        <v>0</v>
      </c>
      <c r="W98" s="11">
        <v>0</v>
      </c>
      <c r="X98" s="3">
        <v>0</v>
      </c>
      <c r="Y98" s="87">
        <v>0</v>
      </c>
      <c r="Z98" s="3">
        <f>SUM(V98:Y98)</f>
        <v>0</v>
      </c>
      <c r="AA98" s="64" t="s">
        <v>259</v>
      </c>
      <c r="AB98" s="69">
        <v>20</v>
      </c>
      <c r="AC98" s="7" t="str">
        <f>IF(AND(V98=0,W98=0,X98=0,Y98=0),
"GD Round not attempted. Active participation is crucial.",
IF(V98=0,
"Participation not attempted. Engage more in discussions.",
IF(V98&gt;=4,
"Outstanding Participation. ",
IF(V98&gt;=2,
"Good Participation. ",
"Needs improvement in Participation. "))) &amp;
IF(W98=0,
"Communication not attempted. Focus on expressing ideas clearly.",
IF(W98&gt;=4,
"Outstanding Communication. ",
IF(W98&gt;=2,
"Good Communication. ",
"Needs improvement in Communication. "))) &amp;
IF(X98=0,
"Presence of Mind not attempted. Work on staying alert during discussions.",
IF(X98&gt;=4,
"Outstanding Presence of Mind. ",
IF(X98&gt;=2,
"Good Presence of Mind. ",
"Needs improvement in Presence of Mind. "))) &amp;
IF(Y98=0,
"Presentation not attempted. Enhance your presentation skills.",
IF(Y98&gt;=4,
"Outstanding Presentation. ",
IF(Y98&gt;=2,
"Good Presentation. ",
"Needs improvement in Presentation. "))))</f>
        <v>GD Round not attempted. Active participation is crucial.</v>
      </c>
      <c r="AD98" s="43">
        <v>0</v>
      </c>
      <c r="AE98" s="11">
        <v>0</v>
      </c>
      <c r="AF98" s="3">
        <v>0</v>
      </c>
      <c r="AG98" s="26">
        <v>0</v>
      </c>
      <c r="AH98" s="19">
        <f>SUM(AD98:AG98)</f>
        <v>0</v>
      </c>
      <c r="AI98" s="73" t="s">
        <v>259</v>
      </c>
      <c r="AJ98" s="76">
        <v>20</v>
      </c>
      <c r="AK98" s="45" t="str">
        <f>IF(AND(AD98=0,AE98=0,AF98=0,AG98=0),
"HR Round not attempted. It's essential to participate in all assessments.",
IF(AD98=0,
"Values not attempted. Reflect on your core values.",
IF(AD98&gt;=4,
"Outstanding understanding of Values. ",
IF(AD98&gt;=2,
"Good understanding of Values. ",
"Needs improvement in understanding Values. "))) &amp;
IF(AE98=0,
"Career Goal not attempted. Define your career objectives clearly.",
IF(AE98&gt;=4,
"Outstanding clarity in Career Goals. ",
IF(AE98&gt;=2,
"Good clarity in Career Goals. ",
"Needs improvement in defining Career Goals. "))) &amp;
IF(AF98=0,
"Behavior Skills not attempted. Work on interpersonal skills.",
IF(AF98&gt;=4,
"Outstanding Behavior Skills. ",
IF(AF98&gt;=2,
"Good Behavior Skills. ",
"Needs improvement in Behavior Skills. "))) &amp;
IF(AG98=0,
"Role Fitment not attempted. Assess your fit for the role.",
IF(AG98&gt;=4,
"Outstanding Role Fitment. ",
IF(AG98&gt;=2,
"Good Role Fitment. ",
"Needs improvement in Role Fitment. "))))</f>
        <v>HR Round not attempted. It's essential to participate in all assessments.</v>
      </c>
      <c r="AL98" s="65">
        <f>SUM(J98,R98,Z98,AH98)</f>
        <v>23.65</v>
      </c>
      <c r="AM98" s="57">
        <v>23.65</v>
      </c>
      <c r="AN98" s="70">
        <v>150</v>
      </c>
      <c r="AO98" s="57">
        <v>86</v>
      </c>
      <c r="AP98" s="52" t="str">
        <f>IF(AND(J98=0,R98=0,Z98=0,AH98=0),
"No participation in any assessment. Please ensure participation in future evaluations.",
IF(J98=0,
"Online Assessment not attempted. Focus on improving basic skills.",
IF(J98&gt;=67.5,
"Outstanding performance in Online Assessment. ",
IF(J98&gt;=45,
"Good performance in Online Assessment. ",
"Needs improvement in Online Assessment. "))) &amp;
IF(R98=0,
"Personal Interview not attempted. Active engagement is essential.",
IF(R98&gt;=16,
"Outstanding performance in Personal Interview. ",
IF(R98&gt;=10,
"Good performance in Personal Interview. ",
"Needs improvement in Personal Interview. "))) &amp;
IF(Z98=0,
"GD Round not attempted. Active participation is crucial.",
IF(Z98&gt;=16,
"Outstanding performance in GD Round. ",
IF(Z98&gt;=10,
"Good performance in GD Round. ",
"Needs improvement in GD Round. "))) &amp;
IF(AH98=0,
"HR Round not attempted. Engage in the assessment process.",
IF(AH98&gt;=16,
"Outstanding performance in HR Round. ",
IF(AH98&gt;=10,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99" spans="1:42" ht="15.75" customHeight="1">
      <c r="A99">
        <v>96</v>
      </c>
      <c r="B99" s="39" t="s">
        <v>77</v>
      </c>
      <c r="C99" s="40" t="s">
        <v>78</v>
      </c>
      <c r="D99" s="40">
        <v>7986304157</v>
      </c>
      <c r="E99" s="7" t="s">
        <v>253</v>
      </c>
      <c r="F99" s="4"/>
      <c r="G99" s="4"/>
      <c r="H99" s="7">
        <v>0</v>
      </c>
      <c r="I99" s="7">
        <v>0</v>
      </c>
      <c r="J99" s="28">
        <f>SUM(H99:I99)</f>
        <v>0</v>
      </c>
      <c r="K99" s="56" t="s">
        <v>259</v>
      </c>
      <c r="L99" s="28">
        <v>90</v>
      </c>
      <c r="M99" s="28" t="str">
        <f>IF(H99=0,
"Aptitude section not attempted. ",
IF(H99&gt;=33.75,
"Outstanding performance in Aptitude. ",
IF(H99&gt;=22.5,
"Good performance in Aptitude. ",
"Needs improvement in Aptitude. "))) &amp;
IF(I99=0,
" General MBA Questions section not attempted. ",
IF(I99&gt;=33.75,
" Outstanding performance in General MBA Questions. ",
IF(I99&gt;=22.5,
" Good performance in General MBA Questions. ",
" Needs improvement in General MBA Questions. ")))</f>
        <v xml:space="preserve">Aptitude section not attempted.  General MBA Questions section not attempted. </v>
      </c>
      <c r="N99" s="11">
        <v>2</v>
      </c>
      <c r="O99" s="11">
        <v>1</v>
      </c>
      <c r="P99" s="11">
        <v>2</v>
      </c>
      <c r="Q99" s="11">
        <v>2</v>
      </c>
      <c r="R99" s="41">
        <f>SUM(N99:Q99)</f>
        <v>7</v>
      </c>
      <c r="S99" s="60">
        <v>7</v>
      </c>
      <c r="T99" s="41">
        <v>20</v>
      </c>
      <c r="U99" s="45" t="str">
        <f>IF(AND(N99=0,O99=0,P99=0,Q99=0),
"Personal Interview not attempted. Please ensure participation next time.",
IF(N99=0,
"Self Expression not attempted. Focus on articulating thoughts clearly.",
IF(N99&gt;=4,
"Outstanding Self Expression. ",
IF(N99&gt;=2,
"Good Self Expression. ",
"Needs improvement in Self Expression. "))) &amp;
IF(O99=0,
"Domain Knowledge not attempted. Focus on relevant topics.",
IF(O99&gt;=4,
"Outstanding performance in Domain Knowledge. ",
IF(O99&gt;=2,
"Good performance in Domain Knowledge. ",
"Needs improvement in Domain Knowledge. "))) &amp;
IF(P99=0,
"Thought Process not attempted. Work on organizing your thoughts.",
IF(P99&gt;=4,
"Outstanding Thought Process. ",
IF(P99&gt;=2,
"Good Thought Process. ",
"Needs improvement in Thought Process. "))) &amp;
IF(Q99=0,
"Problem Solving Skills not attempted. Focus on practice.",
IF(Q99&gt;=4,
"Outstanding Problem Solving Skills. ",
IF(Q99&gt;=2,
"Good Problem Solving Skills. ",
"Needs improvement in Problem Solving Skills. "))))</f>
        <v xml:space="preserve">Good Self Expression. Needs improvement in Domain Knowledge. Good Thought Process. Good Problem Solving Skills. </v>
      </c>
      <c r="V99" s="43">
        <v>4</v>
      </c>
      <c r="W99" s="11">
        <v>4</v>
      </c>
      <c r="X99" s="3">
        <v>4</v>
      </c>
      <c r="Y99" s="26">
        <v>3</v>
      </c>
      <c r="Z99" s="3">
        <f>SUM(V99:Y99)</f>
        <v>15</v>
      </c>
      <c r="AA99" s="57">
        <v>15</v>
      </c>
      <c r="AB99" s="69">
        <v>20</v>
      </c>
      <c r="AC99" s="7" t="str">
        <f>IF(AND(V99=0,W99=0,X99=0,Y99=0),
"GD Round not attempted. Active participation is crucial.",
IF(V99=0,
"Participation not attempted. Engage more in discussions.",
IF(V99&gt;=4,
"Outstanding Participation. ",
IF(V99&gt;=2,
"Good Participation. ",
"Needs improvement in Participation. "))) &amp;
IF(W99=0,
"Communication not attempted. Focus on expressing ideas clearly.",
IF(W99&gt;=4,
"Outstanding Communication. ",
IF(W99&gt;=2,
"Good Communication. ",
"Needs improvement in Communication. "))) &amp;
IF(X99=0,
"Presence of Mind not attempted. Work on staying alert during discussions.",
IF(X99&gt;=4,
"Outstanding Presence of Mind. ",
IF(X99&gt;=2,
"Good Presence of Mind. ",
"Needs improvement in Presence of Mind. "))) &amp;
IF(Y99=0,
"Presentation not attempted. Enhance your presentation skills.",
IF(Y99&gt;=4,
"Outstanding Presentation. ",
IF(Y99&gt;=2,
"Good Presentation. ",
"Needs improvement in Presentation. "))))</f>
        <v xml:space="preserve">Outstanding Participation. Outstanding Communication. Outstanding Presence of Mind. Good Presentation. </v>
      </c>
      <c r="AD99" s="43">
        <v>0</v>
      </c>
      <c r="AE99" s="11">
        <v>0</v>
      </c>
      <c r="AF99" s="90">
        <v>0</v>
      </c>
      <c r="AG99" s="26">
        <v>0</v>
      </c>
      <c r="AH99" s="19">
        <f>SUM(AD99:AG99)</f>
        <v>0</v>
      </c>
      <c r="AI99" s="73" t="s">
        <v>259</v>
      </c>
      <c r="AJ99" s="76">
        <v>20</v>
      </c>
      <c r="AK99" s="45" t="str">
        <f>IF(AND(AD99=0,AE99=0,AF99=0,AG99=0),
"HR Round not attempted. It's essential to participate in all assessments.",
IF(AD99=0,
"Values not attempted. Reflect on your core values.",
IF(AD99&gt;=4,
"Outstanding understanding of Values. ",
IF(AD99&gt;=2,
"Good understanding of Values. ",
"Needs improvement in understanding Values. "))) &amp;
IF(AE99=0,
"Career Goal not attempted. Define your career objectives clearly.",
IF(AE99&gt;=4,
"Outstanding clarity in Career Goals. ",
IF(AE99&gt;=2,
"Good clarity in Career Goals. ",
"Needs improvement in defining Career Goals. "))) &amp;
IF(AF99=0,
"Behavior Skills not attempted. Work on interpersonal skills.",
IF(AF99&gt;=4,
"Outstanding Behavior Skills. ",
IF(AF99&gt;=2,
"Good Behavior Skills. ",
"Needs improvement in Behavior Skills. "))) &amp;
IF(AG99=0,
"Role Fitment not attempted. Assess your fit for the role.",
IF(AG99&gt;=4,
"Outstanding Role Fitment. ",
IF(AG99&gt;=2,
"Good Role Fitment. ",
"Needs improvement in Role Fitment. "))))</f>
        <v>HR Round not attempted. It's essential to participate in all assessments.</v>
      </c>
      <c r="AL99" s="65">
        <f>SUM(J99,R99,Z99,AH99)</f>
        <v>22</v>
      </c>
      <c r="AM99" s="57">
        <v>22</v>
      </c>
      <c r="AN99" s="70">
        <v>150</v>
      </c>
      <c r="AO99" s="57">
        <v>88</v>
      </c>
      <c r="AP99" s="52" t="str">
        <f>IF(AND(J99=0,R99=0,Z99=0,AH99=0),
"No participation in any assessment. Please ensure participation in future evaluations.",
IF(J99=0,
"Online Assessment not attempted. Focus on improving basic skills.",
IF(J99&gt;=67.5,
"Outstanding performance in Online Assessment. ",
IF(J99&gt;=45,
"Good performance in Online Assessment. ",
"Needs improvement in Online Assessment. "))) &amp;
IF(R99=0,
"Personal Interview not attempted. Active engagement is essential.",
IF(R99&gt;=16,
"Outstanding performance in Personal Interview. ",
IF(R99&gt;=10,
"Good performance in Personal Interview. ",
"Needs improvement in Personal Interview. "))) &amp;
IF(Z99=0,
"GD Round not attempted. Active participation is crucial.",
IF(Z99&gt;=16,
"Outstanding performance in GD Round. ",
IF(Z99&gt;=10,
"Good performance in GD Round. ",
"Needs improvement in GD Round. "))) &amp;
IF(AH99=0,
"HR Round not attempted. Engage in the assessment process.",
IF(AH99&gt;=16,
"Outstanding performance in HR Round. ",
IF(AH99&gt;=10,
"Good performance in HR Round. ",
"Needs improvement in HR Round."))))</f>
        <v>Online Assessment not attempted. Focus on improving basic skills.Needs improvement in Personal Interview. Good performance in GD Round. HR Round not attempted. Engage in the assessment process.</v>
      </c>
    </row>
    <row r="100" spans="1:42" ht="15.75" customHeight="1">
      <c r="A100">
        <v>97</v>
      </c>
      <c r="B100" s="39" t="s">
        <v>61</v>
      </c>
      <c r="C100" s="40" t="s">
        <v>62</v>
      </c>
      <c r="D100" s="40">
        <v>9615655554</v>
      </c>
      <c r="E100" s="7" t="s">
        <v>253</v>
      </c>
      <c r="F100" s="4"/>
      <c r="G100" s="4"/>
      <c r="H100" s="7">
        <v>0</v>
      </c>
      <c r="I100" s="7">
        <v>0</v>
      </c>
      <c r="J100" s="28">
        <f>SUM(H100:I100)</f>
        <v>0</v>
      </c>
      <c r="K100" s="56" t="s">
        <v>259</v>
      </c>
      <c r="L100" s="28">
        <v>90</v>
      </c>
      <c r="M100" s="28" t="str">
        <f>IF(H100=0,
"Aptitude section not attempted. ",
IF(H100&gt;=33.75,
"Outstanding performance in Aptitude. ",
IF(H100&gt;=22.5,
"Good performance in Aptitude. ",
"Needs improvement in Aptitude. "))) &amp;
IF(I100=0,
" General MBA Questions section not attempted. ",
IF(I100&gt;=33.75,
" Outstanding performance in General MBA Questions. ",
IF(I100&gt;=22.5,
" Good performance in General MBA Questions. ",
" Needs improvement in General MBA Questions. ")))</f>
        <v xml:space="preserve">Aptitude section not attempted.  General MBA Questions section not attempted. </v>
      </c>
      <c r="N100" s="11">
        <v>0</v>
      </c>
      <c r="O100" s="11">
        <v>0</v>
      </c>
      <c r="P100" s="11">
        <v>0</v>
      </c>
      <c r="Q100" s="11">
        <v>0</v>
      </c>
      <c r="R100" s="41">
        <f>SUM(N100:Q100)</f>
        <v>0</v>
      </c>
      <c r="S100" s="60" t="s">
        <v>259</v>
      </c>
      <c r="T100" s="41">
        <v>20</v>
      </c>
      <c r="U100" s="45" t="str">
        <f>IF(AND(N100=0,O100=0,P100=0,Q100=0),
"Personal Interview not attempted. Please ensure participation next time.",
IF(N100=0,
"Self Expression not attempted. Focus on articulating thoughts clearly.",
IF(N100&gt;=4,
"Outstanding Self Expression. ",
IF(N100&gt;=2,
"Good Self Expression. ",
"Needs improvement in Self Expression. "))) &amp;
IF(O100=0,
"Domain Knowledge not attempted. Focus on relevant topics.",
IF(O100&gt;=4,
"Outstanding performance in Domain Knowledge. ",
IF(O100&gt;=2,
"Good performance in Domain Knowledge. ",
"Needs improvement in Domain Knowledge. "))) &amp;
IF(P100=0,
"Thought Process not attempted. Work on organizing your thoughts.",
IF(P100&gt;=4,
"Outstanding Thought Process. ",
IF(P100&gt;=2,
"Good Thought Process. ",
"Needs improvement in Thought Process. "))) &amp;
IF(Q100=0,
"Problem Solving Skills not attempted. Focus on practice.",
IF(Q100&gt;=4,
"Outstanding Problem Solving Skills. ",
IF(Q100&gt;=2,
"Good Problem Solving Skills. ",
"Needs improvement in Problem Solving Skills. "))))</f>
        <v>Personal Interview not attempted. Please ensure participation next time.</v>
      </c>
      <c r="V100" s="43">
        <v>3</v>
      </c>
      <c r="W100" s="11">
        <v>3</v>
      </c>
      <c r="X100" s="3">
        <v>2</v>
      </c>
      <c r="Y100" s="87">
        <v>2</v>
      </c>
      <c r="Z100" s="3">
        <f>SUM(V100:Y100)</f>
        <v>10</v>
      </c>
      <c r="AA100" s="57">
        <v>10</v>
      </c>
      <c r="AB100" s="69">
        <v>20</v>
      </c>
      <c r="AC100" s="7" t="str">
        <f>IF(AND(V100=0,W100=0,X100=0,Y100=0),
"GD Round not attempted. Active participation is crucial.",
IF(V100=0,
"Participation not attempted. Engage more in discussions.",
IF(V100&gt;=4,
"Outstanding Participation. ",
IF(V100&gt;=2,
"Good Participation. ",
"Needs improvement in Participation. "))) &amp;
IF(W100=0,
"Communication not attempted. Focus on expressing ideas clearly.",
IF(W100&gt;=4,
"Outstanding Communication. ",
IF(W100&gt;=2,
"Good Communication. ",
"Needs improvement in Communication. "))) &amp;
IF(X100=0,
"Presence of Mind not attempted. Work on staying alert during discussions.",
IF(X100&gt;=4,
"Outstanding Presence of Mind. ",
IF(X100&gt;=2,
"Good Presence of Mind. ",
"Needs improvement in Presence of Mind. "))) &amp;
IF(Y100=0,
"Presentation not attempted. Enhance your presentation skills.",
IF(Y100&gt;=4,
"Outstanding Presentation. ",
IF(Y100&gt;=2,
"Good Presentation. ",
"Needs improvement in Presentation. "))))</f>
        <v xml:space="preserve">Good Participation. Good Communication. Good Presence of Mind. Good Presentation. </v>
      </c>
      <c r="AD100" s="88">
        <v>3</v>
      </c>
      <c r="AE100" s="88">
        <v>3</v>
      </c>
      <c r="AF100" s="88">
        <v>3</v>
      </c>
      <c r="AG100" s="88">
        <v>3</v>
      </c>
      <c r="AH100" s="19">
        <f>SUM(AD100:AG100)</f>
        <v>12</v>
      </c>
      <c r="AI100" s="73">
        <v>12</v>
      </c>
      <c r="AJ100" s="76">
        <v>20</v>
      </c>
      <c r="AK100" s="45" t="str">
        <f>IF(AND(AD100=0,AE100=0,AF100=0,AG100=0),
"HR Round not attempted. It's essential to participate in all assessments.",
IF(AD100=0,
"Values not attempted. Reflect on your core values.",
IF(AD100&gt;=4,
"Outstanding understanding of Values. ",
IF(AD100&gt;=2,
"Good understanding of Values. ",
"Needs improvement in understanding Values. "))) &amp;
IF(AE100=0,
"Career Goal not attempted. Define your career objectives clearly.",
IF(AE100&gt;=4,
"Outstanding clarity in Career Goals. ",
IF(AE100&gt;=2,
"Good clarity in Career Goals. ",
"Needs improvement in defining Career Goals. "))) &amp;
IF(AF100=0,
"Behavior Skills not attempted. Work on interpersonal skills.",
IF(AF100&gt;=4,
"Outstanding Behavior Skills. ",
IF(AF100&gt;=2,
"Good Behavior Skills. ",
"Needs improvement in Behavior Skills. "))) &amp;
IF(AG100=0,
"Role Fitment not attempted. Assess your fit for the role.",
IF(AG100&gt;=4,
"Outstanding Role Fitment. ",
IF(AG100&gt;=2,
"Good Role Fitment. ",
"Needs improvement in Role Fitment. "))))</f>
        <v xml:space="preserve">Good understanding of Values. Good clarity in Career Goals. Good Behavior Skills. Good Role Fitment. </v>
      </c>
      <c r="AL100" s="65">
        <f>SUM(J100,R100,Z100,AH100)</f>
        <v>22</v>
      </c>
      <c r="AM100" s="57">
        <v>22</v>
      </c>
      <c r="AN100" s="70">
        <v>150</v>
      </c>
      <c r="AO100" s="57">
        <v>87</v>
      </c>
      <c r="AP100" s="52" t="str">
        <f>IF(AND(J100=0,R100=0,Z100=0,AH100=0),
"No participation in any assessment. Please ensure participation in future evaluations.",
IF(J100=0,
"Online Assessment not attempted. Focus on improving basic skills.",
IF(J100&gt;=67.5,
"Outstanding performance in Online Assessment. ",
IF(J100&gt;=45,
"Good performance in Online Assessment. ",
"Needs improvement in Online Assessment. "))) &amp;
IF(R100=0,
"Personal Interview not attempted. Active engagement is essential.",
IF(R100&gt;=16,
"Outstanding performance in Personal Interview. ",
IF(R100&gt;=10,
"Good performance in Personal Interview. ",
"Needs improvement in Personal Interview. "))) &amp;
IF(Z100=0,
"GD Round not attempted. Active participation is crucial.",
IF(Z100&gt;=16,
"Outstanding performance in GD Round. ",
IF(Z100&gt;=10,
"Good performance in GD Round. ",
"Needs improvement in GD Round. "))) &amp;
IF(AH100=0,
"HR Round not attempted. Engage in the assessment process.",
IF(AH100&gt;=16,
"Outstanding performance in HR Round. ",
IF(AH100&gt;=10,
"Good performance in HR Round. ",
"Needs improvement in HR Round."))))</f>
        <v xml:space="preserve">Online Assessment not attempted. Focus on improving basic skills.Personal Interview not attempted. Active engagement is essential.Good performance in GD Round. Good performance in HR Round. </v>
      </c>
    </row>
    <row r="101" spans="1:42" ht="15.75" customHeight="1">
      <c r="A101">
        <v>98</v>
      </c>
      <c r="B101" s="39" t="s">
        <v>203</v>
      </c>
      <c r="C101" s="40" t="s">
        <v>204</v>
      </c>
      <c r="D101" s="40">
        <v>8264320406</v>
      </c>
      <c r="E101" s="7" t="s">
        <v>253</v>
      </c>
      <c r="F101" s="7"/>
      <c r="G101" s="7"/>
      <c r="H101" s="7">
        <v>0</v>
      </c>
      <c r="I101" s="7">
        <v>0</v>
      </c>
      <c r="J101" s="28">
        <f>SUM(H101:I101)</f>
        <v>0</v>
      </c>
      <c r="K101" s="56" t="s">
        <v>259</v>
      </c>
      <c r="L101" s="28">
        <v>90</v>
      </c>
      <c r="M101" s="28" t="str">
        <f>IF(H101=0,
"Aptitude section not attempted. ",
IF(H101&gt;=33.75,
"Outstanding performance in Aptitude. ",
IF(H101&gt;=22.5,
"Good performance in Aptitude. ",
"Needs improvement in Aptitude. "))) &amp;
IF(I101=0,
" General MBA Questions section not attempted. ",
IF(I101&gt;=33.75,
" Outstanding performance in General MBA Questions. ",
IF(I101&gt;=22.5,
" Good performance in General MBA Questions. ",
" Needs improvement in General MBA Questions. ")))</f>
        <v xml:space="preserve">Aptitude section not attempted.  General MBA Questions section not attempted. </v>
      </c>
      <c r="N101" s="11">
        <v>0</v>
      </c>
      <c r="O101" s="11">
        <v>0</v>
      </c>
      <c r="P101" s="11">
        <v>0</v>
      </c>
      <c r="Q101" s="11">
        <v>0</v>
      </c>
      <c r="R101" s="41">
        <f>SUM(N101:Q101)</f>
        <v>0</v>
      </c>
      <c r="S101" s="60" t="s">
        <v>259</v>
      </c>
      <c r="T101" s="41">
        <v>20</v>
      </c>
      <c r="U101" s="45" t="str">
        <f>IF(AND(N101=0,O101=0,P101=0,Q101=0),
"Personal Interview not attempted. Please ensure participation next time.",
IF(N101=0,
"Self Expression not attempted. Focus on articulating thoughts clearly.",
IF(N101&gt;=4,
"Outstanding Self Expression. ",
IF(N101&gt;=2,
"Good Self Expression. ",
"Needs improvement in Self Expression. "))) &amp;
IF(O101=0,
"Domain Knowledge not attempted. Focus on relevant topics.",
IF(O101&gt;=4,
"Outstanding performance in Domain Knowledge. ",
IF(O101&gt;=2,
"Good performance in Domain Knowledge. ",
"Needs improvement in Domain Knowledge. "))) &amp;
IF(P101=0,
"Thought Process not attempted. Work on organizing your thoughts.",
IF(P101&gt;=4,
"Outstanding Thought Process. ",
IF(P101&gt;=2,
"Good Thought Process. ",
"Needs improvement in Thought Process. "))) &amp;
IF(Q101=0,
"Problem Solving Skills not attempted. Focus on practice.",
IF(Q101&gt;=4,
"Outstanding Problem Solving Skills. ",
IF(Q101&gt;=2,
"Good Problem Solving Skills. ",
"Needs improvement in Problem Solving Skills. "))))</f>
        <v>Personal Interview not attempted. Please ensure participation next time.</v>
      </c>
      <c r="V101" s="43">
        <v>3</v>
      </c>
      <c r="W101" s="11">
        <v>3</v>
      </c>
      <c r="X101" s="3">
        <v>3</v>
      </c>
      <c r="Y101">
        <v>3</v>
      </c>
      <c r="Z101" s="3">
        <f>SUM(V101:Y101)</f>
        <v>12</v>
      </c>
      <c r="AA101" s="57">
        <v>12</v>
      </c>
      <c r="AB101" s="69">
        <v>20</v>
      </c>
      <c r="AC101" s="7" t="str">
        <f>IF(AND(V101=0,W101=0,X101=0,Y101=0),
"GD Round not attempted. Active participation is crucial.",
IF(V101=0,
"Participation not attempted. Engage more in discussions.",
IF(V101&gt;=4,
"Outstanding Participation. ",
IF(V101&gt;=2,
"Good Participation. ",
"Needs improvement in Participation. "))) &amp;
IF(W101=0,
"Communication not attempted. Focus on expressing ideas clearly.",
IF(W101&gt;=4,
"Outstanding Communication. ",
IF(W101&gt;=2,
"Good Communication. ",
"Needs improvement in Communication. "))) &amp;
IF(X101=0,
"Presence of Mind not attempted. Work on staying alert during discussions.",
IF(X101&gt;=4,
"Outstanding Presence of Mind. ",
IF(X101&gt;=2,
"Good Presence of Mind. ",
"Needs improvement in Presence of Mind. "))) &amp;
IF(Y101=0,
"Presentation not attempted. Enhance your presentation skills.",
IF(Y101&gt;=4,
"Outstanding Presentation. ",
IF(Y101&gt;=2,
"Good Presentation. ",
"Needs improvement in Presentation. "))))</f>
        <v xml:space="preserve">Good Participation. Good Communication. Good Presence of Mind. Good Presentation. </v>
      </c>
      <c r="AD101" s="46">
        <v>2</v>
      </c>
      <c r="AE101" s="7">
        <v>2</v>
      </c>
      <c r="AF101" s="87">
        <v>3</v>
      </c>
      <c r="AG101" s="26">
        <v>2</v>
      </c>
      <c r="AH101" s="19">
        <f>SUM(AD101:AG101)</f>
        <v>9</v>
      </c>
      <c r="AI101" s="73">
        <v>9</v>
      </c>
      <c r="AJ101" s="76">
        <v>20</v>
      </c>
      <c r="AK101" s="45" t="str">
        <f>IF(AND(AD101=0,AE101=0,AF101=0,AG101=0),
"HR Round not attempted. It's essential to participate in all assessments.",
IF(AD101=0,
"Values not attempted. Reflect on your core values.",
IF(AD101&gt;=4,
"Outstanding understanding of Values. ",
IF(AD101&gt;=2,
"Good understanding of Values. ",
"Needs improvement in understanding Values. "))) &amp;
IF(AE101=0,
"Career Goal not attempted. Define your career objectives clearly.",
IF(AE101&gt;=4,
"Outstanding clarity in Career Goals. ",
IF(AE101&gt;=2,
"Good clarity in Career Goals. ",
"Needs improvement in defining Career Goals. "))) &amp;
IF(AF101=0,
"Behavior Skills not attempted. Work on interpersonal skills.",
IF(AF101&gt;=4,
"Outstanding Behavior Skills. ",
IF(AF101&gt;=2,
"Good Behavior Skills. ",
"Needs improvement in Behavior Skills. "))) &amp;
IF(AG101=0,
"Role Fitment not attempted. Assess your fit for the role.",
IF(AG101&gt;=4,
"Outstanding Role Fitment. ",
IF(AG101&gt;=2,
"Good Role Fitment. ",
"Needs improvement in Role Fitment. "))))</f>
        <v xml:space="preserve">Good understanding of Values. Good clarity in Career Goals. Good Behavior Skills. Good Role Fitment. </v>
      </c>
      <c r="AL101" s="65">
        <f>SUM(J101,R101,Z101,AH101)</f>
        <v>21</v>
      </c>
      <c r="AM101" s="57">
        <v>21</v>
      </c>
      <c r="AN101" s="70">
        <v>150</v>
      </c>
      <c r="AO101" s="57">
        <v>90</v>
      </c>
      <c r="AP101" s="52" t="str">
        <f>IF(AND(J101=0,R101=0,Z101=0,AH101=0),
"No participation in any assessment. Please ensure participation in future evaluations.",
IF(J101=0,
"Online Assessment not attempted. Focus on improving basic skills.",
IF(J101&gt;=67.5,
"Outstanding performance in Online Assessment. ",
IF(J101&gt;=45,
"Good performance in Online Assessment. ",
"Needs improvement in Online Assessment. "))) &amp;
IF(R101=0,
"Personal Interview not attempted. Active engagement is essential.",
IF(R101&gt;=16,
"Outstanding performance in Personal Interview. ",
IF(R101&gt;=10,
"Good performance in Personal Interview. ",
"Needs improvement in Personal Interview. "))) &amp;
IF(Z101=0,
"GD Round not attempted. Active participation is crucial.",
IF(Z101&gt;=16,
"Outstanding performance in GD Round. ",
IF(Z101&gt;=10,
"Good performance in GD Round. ",
"Needs improvement in GD Round. "))) &amp;
IF(AH101=0,
"HR Round not attempted. Engage in the assessment process.",
IF(AH101&gt;=16,
"Outstanding performance in HR Round. ",
IF(AH101&gt;=10,
"Good performance in HR Round. ",
"Needs improvement in HR Round."))))</f>
        <v>Online Assessment not attempted. Focus on improving basic skills.Personal Interview not attempted. Active engagement is essential.Good performance in GD Round. Needs improvement in HR Round.</v>
      </c>
    </row>
    <row r="102" spans="1:42" ht="15.75" customHeight="1">
      <c r="A102">
        <v>99</v>
      </c>
      <c r="B102" s="39" t="s">
        <v>132</v>
      </c>
      <c r="C102" s="40" t="s">
        <v>133</v>
      </c>
      <c r="D102" s="40">
        <v>9017970970</v>
      </c>
      <c r="E102" s="7" t="s">
        <v>253</v>
      </c>
      <c r="F102" s="6"/>
      <c r="G102" s="6"/>
      <c r="H102" s="7">
        <v>0</v>
      </c>
      <c r="I102" s="7">
        <v>0</v>
      </c>
      <c r="J102" s="28">
        <f>SUM(H102:I102)</f>
        <v>0</v>
      </c>
      <c r="K102" s="56" t="s">
        <v>259</v>
      </c>
      <c r="L102" s="28">
        <v>90</v>
      </c>
      <c r="M102" s="28" t="str">
        <f>IF(H102=0,
"Aptitude section not attempted. ",
IF(H102&gt;=33.75,
"Outstanding performance in Aptitude. ",
IF(H102&gt;=22.5,
"Good performance in Aptitude. ",
"Needs improvement in Aptitude. "))) &amp;
IF(I102=0,
" General MBA Questions section not attempted. ",
IF(I102&gt;=33.75,
" Outstanding performance in General MBA Questions. ",
IF(I102&gt;=22.5,
" Good performance in General MBA Questions. ",
" Needs improvement in General MBA Questions. ")))</f>
        <v xml:space="preserve">Aptitude section not attempted.  General MBA Questions section not attempted. </v>
      </c>
      <c r="N102" s="11">
        <v>0</v>
      </c>
      <c r="O102" s="11">
        <v>0</v>
      </c>
      <c r="P102" s="11">
        <v>0</v>
      </c>
      <c r="Q102" s="11">
        <v>0</v>
      </c>
      <c r="R102" s="41">
        <f>SUM(N102:Q102)</f>
        <v>0</v>
      </c>
      <c r="S102" s="60" t="s">
        <v>259</v>
      </c>
      <c r="T102" s="41">
        <v>20</v>
      </c>
      <c r="U102" s="45" t="str">
        <f>IF(AND(N102=0,O102=0,P102=0,Q102=0),
"Personal Interview not attempted. Please ensure participation next time.",
IF(N102=0,
"Self Expression not attempted. Focus on articulating thoughts clearly.",
IF(N102&gt;=4,
"Outstanding Self Expression. ",
IF(N102&gt;=2,
"Good Self Expression. ",
"Needs improvement in Self Expression. "))) &amp;
IF(O102=0,
"Domain Knowledge not attempted. Focus on relevant topics.",
IF(O102&gt;=4,
"Outstanding performance in Domain Knowledge. ",
IF(O102&gt;=2,
"Good performance in Domain Knowledge. ",
"Needs improvement in Domain Knowledge. "))) &amp;
IF(P102=0,
"Thought Process not attempted. Work on organizing your thoughts.",
IF(P102&gt;=4,
"Outstanding Thought Process. ",
IF(P102&gt;=2,
"Good Thought Process. ",
"Needs improvement in Thought Process. "))) &amp;
IF(Q102=0,
"Problem Solving Skills not attempted. Focus on practice.",
IF(Q102&gt;=4,
"Outstanding Problem Solving Skills. ",
IF(Q102&gt;=2,
"Good Problem Solving Skills. ",
"Needs improvement in Problem Solving Skills. "))))</f>
        <v>Personal Interview not attempted. Please ensure participation next time.</v>
      </c>
      <c r="V102" s="43">
        <v>3</v>
      </c>
      <c r="W102" s="11">
        <v>3</v>
      </c>
      <c r="X102" s="3">
        <v>4</v>
      </c>
      <c r="Y102" s="87">
        <v>2</v>
      </c>
      <c r="Z102" s="3">
        <f>SUM(V102:Y102)</f>
        <v>12</v>
      </c>
      <c r="AA102" s="57">
        <v>12</v>
      </c>
      <c r="AB102" s="69">
        <v>20</v>
      </c>
      <c r="AC102" s="7" t="str">
        <f>IF(AND(V102=0,W102=0,X102=0,Y102=0),
"GD Round not attempted. Active participation is crucial.",
IF(V102=0,
"Participation not attempted. Engage more in discussions.",
IF(V102&gt;=4,
"Outstanding Participation. ",
IF(V102&gt;=2,
"Good Participation. ",
"Needs improvement in Participation. "))) &amp;
IF(W102=0,
"Communication not attempted. Focus on expressing ideas clearly.",
IF(W102&gt;=4,
"Outstanding Communication. ",
IF(W102&gt;=2,
"Good Communication. ",
"Needs improvement in Communication. "))) &amp;
IF(X102=0,
"Presence of Mind not attempted. Work on staying alert during discussions.",
IF(X102&gt;=4,
"Outstanding Presence of Mind. ",
IF(X102&gt;=2,
"Good Presence of Mind. ",
"Needs improvement in Presence of Mind. "))) &amp;
IF(Y102=0,
"Presentation not attempted. Enhance your presentation skills.",
IF(Y102&gt;=4,
"Outstanding Presentation. ",
IF(Y102&gt;=2,
"Good Presentation. ",
"Needs improvement in Presentation. "))))</f>
        <v xml:space="preserve">Good Participation. Good Communication. Outstanding Presence of Mind. Good Presentation. </v>
      </c>
      <c r="AD102" s="43">
        <v>2</v>
      </c>
      <c r="AE102" s="11">
        <v>3</v>
      </c>
      <c r="AF102" s="18">
        <v>2</v>
      </c>
      <c r="AG102" s="25">
        <v>2</v>
      </c>
      <c r="AH102" s="19">
        <f>SUM(AD102:AG102)</f>
        <v>9</v>
      </c>
      <c r="AI102" s="73">
        <v>9</v>
      </c>
      <c r="AJ102" s="76">
        <v>20</v>
      </c>
      <c r="AK102" s="45" t="str">
        <f>IF(AND(AD102=0,AE102=0,AF102=0,AG102=0),
"HR Round not attempted. It's essential to participate in all assessments.",
IF(AD102=0,
"Values not attempted. Reflect on your core values.",
IF(AD102&gt;=4,
"Outstanding understanding of Values. ",
IF(AD102&gt;=2,
"Good understanding of Values. ",
"Needs improvement in understanding Values. "))) &amp;
IF(AE102=0,
"Career Goal not attempted. Define your career objectives clearly.",
IF(AE102&gt;=4,
"Outstanding clarity in Career Goals. ",
IF(AE102&gt;=2,
"Good clarity in Career Goals. ",
"Needs improvement in defining Career Goals. "))) &amp;
IF(AF102=0,
"Behavior Skills not attempted. Work on interpersonal skills.",
IF(AF102&gt;=4,
"Outstanding Behavior Skills. ",
IF(AF102&gt;=2,
"Good Behavior Skills. ",
"Needs improvement in Behavior Skills. "))) &amp;
IF(AG102=0,
"Role Fitment not attempted. Assess your fit for the role.",
IF(AG102&gt;=4,
"Outstanding Role Fitment. ",
IF(AG102&gt;=2,
"Good Role Fitment. ",
"Needs improvement in Role Fitment. "))))</f>
        <v xml:space="preserve">Good understanding of Values. Good clarity in Career Goals. Good Behavior Skills. Good Role Fitment. </v>
      </c>
      <c r="AL102" s="65">
        <f>SUM(J102,R102,Z102,AH102)</f>
        <v>21</v>
      </c>
      <c r="AM102" s="57">
        <v>21</v>
      </c>
      <c r="AN102" s="70">
        <v>150</v>
      </c>
      <c r="AO102" s="57">
        <v>89</v>
      </c>
      <c r="AP102" s="52" t="str">
        <f>IF(AND(J102=0,R102=0,Z102=0,AH102=0),
"No participation in any assessment. Please ensure participation in future evaluations.",
IF(J102=0,
"Online Assessment not attempted. Focus on improving basic skills.",
IF(J102&gt;=67.5,
"Outstanding performance in Online Assessment. ",
IF(J102&gt;=45,
"Good performance in Online Assessment. ",
"Needs improvement in Online Assessment. "))) &amp;
IF(R102=0,
"Personal Interview not attempted. Active engagement is essential.",
IF(R102&gt;=16,
"Outstanding performance in Personal Interview. ",
IF(R102&gt;=10,
"Good performance in Personal Interview. ",
"Needs improvement in Personal Interview. "))) &amp;
IF(Z102=0,
"GD Round not attempted. Active participation is crucial.",
IF(Z102&gt;=16,
"Outstanding performance in GD Round. ",
IF(Z102&gt;=10,
"Good performance in GD Round. ",
"Needs improvement in GD Round. "))) &amp;
IF(AH102=0,
"HR Round not attempted. Engage in the assessment process.",
IF(AH102&gt;=16,
"Outstanding performance in HR Round. ",
IF(AH102&gt;=10,
"Good performance in HR Round. ",
"Needs improvement in HR Round."))))</f>
        <v>Online Assessment not attempted. Focus on improving basic skills.Personal Interview not attempted. Active engagement is essential.Good performance in GD Round. Needs improvement in HR Round.</v>
      </c>
    </row>
    <row r="103" spans="1:42" ht="15.75" customHeight="1">
      <c r="A103">
        <v>100</v>
      </c>
      <c r="B103" s="39" t="s">
        <v>134</v>
      </c>
      <c r="C103" s="40" t="s">
        <v>135</v>
      </c>
      <c r="D103" s="40">
        <v>9882884498</v>
      </c>
      <c r="E103" s="7" t="s">
        <v>253</v>
      </c>
      <c r="F103" s="4"/>
      <c r="G103" s="4"/>
      <c r="H103" s="7">
        <v>0</v>
      </c>
      <c r="I103" s="7">
        <v>0</v>
      </c>
      <c r="J103" s="28">
        <f>SUM(H103:I103)</f>
        <v>0</v>
      </c>
      <c r="K103" s="56" t="s">
        <v>259</v>
      </c>
      <c r="L103" s="28">
        <v>90</v>
      </c>
      <c r="M103" s="28" t="str">
        <f>IF(H103=0,
"Aptitude section not attempted. ",
IF(H103&gt;=33.75,
"Outstanding performance in Aptitude. ",
IF(H103&gt;=22.5,
"Good performance in Aptitude. ",
"Needs improvement in Aptitude. "))) &amp;
IF(I103=0,
" General MBA Questions section not attempted. ",
IF(I103&gt;=33.75,
" Outstanding performance in General MBA Questions. ",
IF(I103&gt;=22.5,
" Good performance in General MBA Questions. ",
" Needs improvement in General MBA Questions. ")))</f>
        <v xml:space="preserve">Aptitude section not attempted.  General MBA Questions section not attempted. </v>
      </c>
      <c r="N103" s="11">
        <v>2</v>
      </c>
      <c r="O103" s="11">
        <v>2</v>
      </c>
      <c r="P103" s="11">
        <v>2</v>
      </c>
      <c r="Q103" s="11">
        <v>3</v>
      </c>
      <c r="R103" s="41">
        <f>SUM(N103:Q103)</f>
        <v>9</v>
      </c>
      <c r="S103" s="60">
        <v>9</v>
      </c>
      <c r="T103" s="41">
        <v>20</v>
      </c>
      <c r="U103" s="45" t="str">
        <f>IF(AND(N103=0,O103=0,P103=0,Q103=0),
"Personal Interview not attempted. Please ensure participation next time.",
IF(N103=0,
"Self Expression not attempted. Focus on articulating thoughts clearly.",
IF(N103&gt;=4,
"Outstanding Self Expression. ",
IF(N103&gt;=2,
"Good Self Expression. ",
"Needs improvement in Self Expression. "))) &amp;
IF(O103=0,
"Domain Knowledge not attempted. Focus on relevant topics.",
IF(O103&gt;=4,
"Outstanding performance in Domain Knowledge. ",
IF(O103&gt;=2,
"Good performance in Domain Knowledge. ",
"Needs improvement in Domain Knowledge. "))) &amp;
IF(P103=0,
"Thought Process not attempted. Work on organizing your thoughts.",
IF(P103&gt;=4,
"Outstanding Thought Process. ",
IF(P103&gt;=2,
"Good Thought Process. ",
"Needs improvement in Thought Process. "))) &amp;
IF(Q103=0,
"Problem Solving Skills not attempted. Focus on practice.",
IF(Q103&gt;=4,
"Outstanding Problem Solving Skills. ",
IF(Q103&gt;=2,
"Good Problem Solving Skills. ",
"Needs improvement in Problem Solving Skills. "))))</f>
        <v xml:space="preserve">Good Self Expression. Good performance in Domain Knowledge. Good Thought Process. Good Problem Solving Skills. </v>
      </c>
      <c r="V103" s="43">
        <v>3</v>
      </c>
      <c r="W103" s="11">
        <v>2</v>
      </c>
      <c r="X103" s="3">
        <v>3</v>
      </c>
      <c r="Y103" s="26">
        <v>2</v>
      </c>
      <c r="Z103" s="3">
        <f>SUM(V103:Y103)</f>
        <v>10</v>
      </c>
      <c r="AA103" s="57">
        <v>10</v>
      </c>
      <c r="AB103" s="69">
        <v>20</v>
      </c>
      <c r="AC103" s="7" t="str">
        <f>IF(AND(V103=0,W103=0,X103=0,Y103=0),
"GD Round not attempted. Active participation is crucial.",
IF(V103=0,
"Participation not attempted. Engage more in discussions.",
IF(V103&gt;=4,
"Outstanding Participation. ",
IF(V103&gt;=2,
"Good Participation. ",
"Needs improvement in Participation. "))) &amp;
IF(W103=0,
"Communication not attempted. Focus on expressing ideas clearly.",
IF(W103&gt;=4,
"Outstanding Communication. ",
IF(W103&gt;=2,
"Good Communication. ",
"Needs improvement in Communication. "))) &amp;
IF(X103=0,
"Presence of Mind not attempted. Work on staying alert during discussions.",
IF(X103&gt;=4,
"Outstanding Presence of Mind. ",
IF(X103&gt;=2,
"Good Presence of Mind. ",
"Needs improvement in Presence of Mind. "))) &amp;
IF(Y103=0,
"Presentation not attempted. Enhance your presentation skills.",
IF(Y103&gt;=4,
"Outstanding Presentation. ",
IF(Y103&gt;=2,
"Good Presentation. ",
"Needs improvement in Presentation. "))))</f>
        <v xml:space="preserve">Good Participation. Good Communication. Good Presence of Mind. Good Presentation. </v>
      </c>
      <c r="AD103" s="43">
        <v>0</v>
      </c>
      <c r="AE103" s="11">
        <v>0</v>
      </c>
      <c r="AF103" s="90">
        <v>0</v>
      </c>
      <c r="AG103" s="26">
        <v>0</v>
      </c>
      <c r="AH103" s="19">
        <f>SUM(AD103:AG103)</f>
        <v>0</v>
      </c>
      <c r="AI103" s="73" t="s">
        <v>259</v>
      </c>
      <c r="AJ103" s="76">
        <v>20</v>
      </c>
      <c r="AK103" s="45" t="str">
        <f>IF(AND(AD103=0,AE103=0,AF103=0,AG103=0),
"HR Round not attempted. It's essential to participate in all assessments.",
IF(AD103=0,
"Values not attempted. Reflect on your core values.",
IF(AD103&gt;=4,
"Outstanding understanding of Values. ",
IF(AD103&gt;=2,
"Good understanding of Values. ",
"Needs improvement in understanding Values. "))) &amp;
IF(AE103=0,
"Career Goal not attempted. Define your career objectives clearly.",
IF(AE103&gt;=4,
"Outstanding clarity in Career Goals. ",
IF(AE103&gt;=2,
"Good clarity in Career Goals. ",
"Needs improvement in defining Career Goals. "))) &amp;
IF(AF103=0,
"Behavior Skills not attempted. Work on interpersonal skills.",
IF(AF103&gt;=4,
"Outstanding Behavior Skills. ",
IF(AF103&gt;=2,
"Good Behavior Skills. ",
"Needs improvement in Behavior Skills. "))) &amp;
IF(AG103=0,
"Role Fitment not attempted. Assess your fit for the role.",
IF(AG103&gt;=4,
"Outstanding Role Fitment. ",
IF(AG103&gt;=2,
"Good Role Fitment. ",
"Needs improvement in Role Fitment. "))))</f>
        <v>HR Round not attempted. It's essential to participate in all assessments.</v>
      </c>
      <c r="AL103" s="65">
        <f>SUM(J103,R103,Z103,AH103)</f>
        <v>19</v>
      </c>
      <c r="AM103" s="57">
        <v>19</v>
      </c>
      <c r="AN103" s="70">
        <v>150</v>
      </c>
      <c r="AO103" s="57">
        <v>91</v>
      </c>
      <c r="AP103" s="52" t="str">
        <f>IF(AND(J103=0,R103=0,Z103=0,AH103=0),
"No participation in any assessment. Please ensure participation in future evaluations.",
IF(J103=0,
"Online Assessment not attempted. Focus on improving basic skills.",
IF(J103&gt;=67.5,
"Outstanding performance in Online Assessment. ",
IF(J103&gt;=45,
"Good performance in Online Assessment. ",
"Needs improvement in Online Assessment. "))) &amp;
IF(R103=0,
"Personal Interview not attempted. Active engagement is essential.",
IF(R103&gt;=16,
"Outstanding performance in Personal Interview. ",
IF(R103&gt;=10,
"Good performance in Personal Interview. ",
"Needs improvement in Personal Interview. "))) &amp;
IF(Z103=0,
"GD Round not attempted. Active participation is crucial.",
IF(Z103&gt;=16,
"Outstanding performance in GD Round. ",
IF(Z103&gt;=10,
"Good performance in GD Round. ",
"Needs improvement in GD Round. "))) &amp;
IF(AH103=0,
"HR Round not attempted. Engage in the assessment process.",
IF(AH103&gt;=16,
"Outstanding performance in HR Round. ",
IF(AH103&gt;=10,
"Good performance in HR Round. ",
"Needs improvement in HR Round."))))</f>
        <v>Online Assessment not attempted. Focus on improving basic skills.Needs improvement in Personal Interview. Good performance in GD Round. HR Round not attempted. Engage in the assessment process.</v>
      </c>
    </row>
    <row r="104" spans="1:42" ht="15.75" customHeight="1">
      <c r="A104">
        <v>101</v>
      </c>
      <c r="B104" s="39" t="s">
        <v>75</v>
      </c>
      <c r="C104" s="40" t="s">
        <v>76</v>
      </c>
      <c r="D104" s="40">
        <v>6284637473</v>
      </c>
      <c r="E104" s="7" t="s">
        <v>253</v>
      </c>
      <c r="F104" s="6"/>
      <c r="G104" s="6"/>
      <c r="H104" s="7">
        <v>0</v>
      </c>
      <c r="I104" s="7">
        <v>0</v>
      </c>
      <c r="J104" s="28">
        <f>SUM(H104:I104)</f>
        <v>0</v>
      </c>
      <c r="K104" s="56" t="s">
        <v>259</v>
      </c>
      <c r="L104" s="28">
        <v>90</v>
      </c>
      <c r="M104" s="28" t="str">
        <f>IF(H104=0,
"Aptitude section not attempted. ",
IF(H104&gt;=33.75,
"Outstanding performance in Aptitude. ",
IF(H104&gt;=22.5,
"Good performance in Aptitude. ",
"Needs improvement in Aptitude. "))) &amp;
IF(I104=0,
" General MBA Questions section not attempted. ",
IF(I104&gt;=33.75,
" Outstanding performance in General MBA Questions. ",
IF(I104&gt;=22.5,
" Good performance in General MBA Questions. ",
" Needs improvement in General MBA Questions. ")))</f>
        <v xml:space="preserve">Aptitude section not attempted.  General MBA Questions section not attempted. </v>
      </c>
      <c r="N104" s="11">
        <v>2</v>
      </c>
      <c r="O104" s="11">
        <v>3</v>
      </c>
      <c r="P104" s="11">
        <v>3</v>
      </c>
      <c r="Q104" s="11">
        <v>2</v>
      </c>
      <c r="R104" s="41">
        <f>SUM(N104:Q104)</f>
        <v>10</v>
      </c>
      <c r="S104" s="60">
        <v>10</v>
      </c>
      <c r="T104" s="41">
        <v>20</v>
      </c>
      <c r="U104" s="45" t="str">
        <f>IF(AND(N104=0,O104=0,P104=0,Q104=0),
"Personal Interview not attempted. Please ensure participation next time.",
IF(N104=0,
"Self Expression not attempted. Focus on articulating thoughts clearly.",
IF(N104&gt;=4,
"Outstanding Self Expression. ",
IF(N104&gt;=2,
"Good Self Expression. ",
"Needs improvement in Self Expression. "))) &amp;
IF(O104=0,
"Domain Knowledge not attempted. Focus on relevant topics.",
IF(O104&gt;=4,
"Outstanding performance in Domain Knowledge. ",
IF(O104&gt;=2,
"Good performance in Domain Knowledge. ",
"Needs improvement in Domain Knowledge. "))) &amp;
IF(P104=0,
"Thought Process not attempted. Work on organizing your thoughts.",
IF(P104&gt;=4,
"Outstanding Thought Process. ",
IF(P104&gt;=2,
"Good Thought Process. ",
"Needs improvement in Thought Process. "))) &amp;
IF(Q104=0,
"Problem Solving Skills not attempted. Focus on practice.",
IF(Q104&gt;=4,
"Outstanding Problem Solving Skills. ",
IF(Q104&gt;=2,
"Good Problem Solving Skills. ",
"Needs improvement in Problem Solving Skills. "))))</f>
        <v xml:space="preserve">Good Self Expression. Good performance in Domain Knowledge. Good Thought Process. Good Problem Solving Skills. </v>
      </c>
      <c r="V104" s="43">
        <v>2</v>
      </c>
      <c r="W104" s="11">
        <v>2</v>
      </c>
      <c r="X104" s="3">
        <v>2</v>
      </c>
      <c r="Y104" s="87">
        <v>2</v>
      </c>
      <c r="Z104" s="3">
        <f>SUM(V104:Y104)</f>
        <v>8</v>
      </c>
      <c r="AA104" s="57">
        <v>8</v>
      </c>
      <c r="AB104" s="69">
        <v>20</v>
      </c>
      <c r="AC104" s="7" t="str">
        <f>IF(AND(V104=0,W104=0,X104=0,Y104=0),
"GD Round not attempted. Active participation is crucial.",
IF(V104=0,
"Participation not attempted. Engage more in discussions.",
IF(V104&gt;=4,
"Outstanding Participation. ",
IF(V104&gt;=2,
"Good Participation. ",
"Needs improvement in Participation. "))) &amp;
IF(W104=0,
"Communication not attempted. Focus on expressing ideas clearly.",
IF(W104&gt;=4,
"Outstanding Communication. ",
IF(W104&gt;=2,
"Good Communication. ",
"Needs improvement in Communication. "))) &amp;
IF(X104=0,
"Presence of Mind not attempted. Work on staying alert during discussions.",
IF(X104&gt;=4,
"Outstanding Presence of Mind. ",
IF(X104&gt;=2,
"Good Presence of Mind. ",
"Needs improvement in Presence of Mind. "))) &amp;
IF(Y104=0,
"Presentation not attempted. Enhance your presentation skills.",
IF(Y104&gt;=4,
"Outstanding Presentation. ",
IF(Y104&gt;=2,
"Good Presentation. ",
"Needs improvement in Presentation. "))))</f>
        <v xml:space="preserve">Good Participation. Good Communication. Good Presence of Mind. Good Presentation. </v>
      </c>
      <c r="AD104" s="43">
        <v>0</v>
      </c>
      <c r="AE104" s="11">
        <v>0</v>
      </c>
      <c r="AF104" s="3">
        <v>0</v>
      </c>
      <c r="AG104" s="26">
        <v>0</v>
      </c>
      <c r="AH104" s="19">
        <f>SUM(AD104:AG104)</f>
        <v>0</v>
      </c>
      <c r="AI104" s="73" t="s">
        <v>259</v>
      </c>
      <c r="AJ104" s="76">
        <v>20</v>
      </c>
      <c r="AK104" s="45" t="str">
        <f>IF(AND(AD104=0,AE104=0,AF104=0,AG104=0),
"HR Round not attempted. It's essential to participate in all assessments.",
IF(AD104=0,
"Values not attempted. Reflect on your core values.",
IF(AD104&gt;=4,
"Outstanding understanding of Values. ",
IF(AD104&gt;=2,
"Good understanding of Values. ",
"Needs improvement in understanding Values. "))) &amp;
IF(AE104=0,
"Career Goal not attempted. Define your career objectives clearly.",
IF(AE104&gt;=4,
"Outstanding clarity in Career Goals. ",
IF(AE104&gt;=2,
"Good clarity in Career Goals. ",
"Needs improvement in defining Career Goals. "))) &amp;
IF(AF104=0,
"Behavior Skills not attempted. Work on interpersonal skills.",
IF(AF104&gt;=4,
"Outstanding Behavior Skills. ",
IF(AF104&gt;=2,
"Good Behavior Skills. ",
"Needs improvement in Behavior Skills. "))) &amp;
IF(AG104=0,
"Role Fitment not attempted. Assess your fit for the role.",
IF(AG104&gt;=4,
"Outstanding Role Fitment. ",
IF(AG104&gt;=2,
"Good Role Fitment. ",
"Needs improvement in Role Fitment. "))))</f>
        <v>HR Round not attempted. It's essential to participate in all assessments.</v>
      </c>
      <c r="AL104" s="65">
        <f>SUM(J104,R104,Z104,AH104)</f>
        <v>18</v>
      </c>
      <c r="AM104" s="57">
        <v>18</v>
      </c>
      <c r="AN104" s="70">
        <v>150</v>
      </c>
      <c r="AO104" s="57">
        <v>92</v>
      </c>
      <c r="AP104" s="52" t="str">
        <f>IF(AND(J104=0,R104=0,Z104=0,AH104=0),
"No participation in any assessment. Please ensure participation in future evaluations.",
IF(J104=0,
"Online Assessment not attempted. Focus on improving basic skills.",
IF(J104&gt;=67.5,
"Outstanding performance in Online Assessment. ",
IF(J104&gt;=45,
"Good performance in Online Assessment. ",
"Needs improvement in Online Assessment. "))) &amp;
IF(R104=0,
"Personal Interview not attempted. Active engagement is essential.",
IF(R104&gt;=16,
"Outstanding performance in Personal Interview. ",
IF(R104&gt;=10,
"Good performance in Personal Interview. ",
"Needs improvement in Personal Interview. "))) &amp;
IF(Z104=0,
"GD Round not attempted. Active participation is crucial.",
IF(Z104&gt;=16,
"Outstanding performance in GD Round. ",
IF(Z104&gt;=10,
"Good performance in GD Round. ",
"Needs improvement in GD Round. "))) &amp;
IF(AH104=0,
"HR Round not attempted. Engage in the assessment process.",
IF(AH104&gt;=16,
"Outstanding performance in HR Round. ",
IF(AH104&gt;=10,
"Good performance in HR Round. ",
"Needs improvement in HR Round."))))</f>
        <v>Online Assessment not attempted. Focus on improving basic skills.Good performance in Personal Interview. Needs improvement in GD Round. HR Round not attempted. Engage in the assessment process.</v>
      </c>
    </row>
    <row r="105" spans="1:42" ht="15.75" customHeight="1">
      <c r="A105">
        <v>102</v>
      </c>
      <c r="B105" s="39" t="s">
        <v>161</v>
      </c>
      <c r="C105" s="40" t="s">
        <v>162</v>
      </c>
      <c r="D105" s="40">
        <v>9877350744</v>
      </c>
      <c r="E105" s="7" t="s">
        <v>253</v>
      </c>
      <c r="F105" s="7"/>
      <c r="G105" s="7"/>
      <c r="H105" s="7">
        <v>0</v>
      </c>
      <c r="I105" s="7">
        <v>0</v>
      </c>
      <c r="J105" s="28">
        <f>SUM(H105:I105)</f>
        <v>0</v>
      </c>
      <c r="K105" s="56" t="s">
        <v>259</v>
      </c>
      <c r="L105" s="28">
        <v>90</v>
      </c>
      <c r="M105" s="28" t="str">
        <f>IF(H105=0,
"Aptitude section not attempted. ",
IF(H105&gt;=33.75,
"Outstanding performance in Aptitude. ",
IF(H105&gt;=22.5,
"Good performance in Aptitude. ",
"Needs improvement in Aptitude. "))) &amp;
IF(I105=0,
" General MBA Questions section not attempted. ",
IF(I105&gt;=33.75,
" Outstanding performance in General MBA Questions. ",
IF(I105&gt;=22.5,
" Good performance in General MBA Questions. ",
" Needs improvement in General MBA Questions. ")))</f>
        <v xml:space="preserve">Aptitude section not attempted.  General MBA Questions section not attempted. </v>
      </c>
      <c r="N105" s="7">
        <v>2</v>
      </c>
      <c r="O105" s="7">
        <v>2</v>
      </c>
      <c r="P105" s="7">
        <v>1</v>
      </c>
      <c r="Q105" s="7">
        <v>2</v>
      </c>
      <c r="R105" s="41">
        <f>SUM(N105:Q105)</f>
        <v>7</v>
      </c>
      <c r="S105" s="60">
        <v>7</v>
      </c>
      <c r="T105" s="41">
        <v>20</v>
      </c>
      <c r="U105" s="45" t="str">
        <f>IF(AND(N105=0,O105=0,P105=0,Q105=0),
"Personal Interview not attempted. Please ensure participation next time.",
IF(N105=0,
"Self Expression not attempted. Focus on articulating thoughts clearly.",
IF(N105&gt;=4,
"Outstanding Self Expression. ",
IF(N105&gt;=2,
"Good Self Expression. ",
"Needs improvement in Self Expression. "))) &amp;
IF(O105=0,
"Domain Knowledge not attempted. Focus on relevant topics.",
IF(O105&gt;=4,
"Outstanding performance in Domain Knowledge. ",
IF(O105&gt;=2,
"Good performance in Domain Knowledge. ",
"Needs improvement in Domain Knowledge. "))) &amp;
IF(P105=0,
"Thought Process not attempted. Work on organizing your thoughts.",
IF(P105&gt;=4,
"Outstanding Thought Process. ",
IF(P105&gt;=2,
"Good Thought Process. ",
"Needs improvement in Thought Process. "))) &amp;
IF(Q105=0,
"Problem Solving Skills not attempted. Focus on practice.",
IF(Q105&gt;=4,
"Outstanding Problem Solving Skills. ",
IF(Q105&gt;=2,
"Good Problem Solving Skills. ",
"Needs improvement in Problem Solving Skills. "))))</f>
        <v xml:space="preserve">Good Self Expression. Good performance in Domain Knowledge. Needs improvement in Thought Process. Good Problem Solving Skills. </v>
      </c>
      <c r="V105" s="43">
        <v>4</v>
      </c>
      <c r="W105" s="11">
        <v>2</v>
      </c>
      <c r="X105" s="3">
        <v>2</v>
      </c>
      <c r="Y105" s="18">
        <v>2</v>
      </c>
      <c r="Z105" s="3">
        <f>SUM(V105:Y105)</f>
        <v>10</v>
      </c>
      <c r="AA105" s="57">
        <v>10</v>
      </c>
      <c r="AB105" s="69">
        <v>20</v>
      </c>
      <c r="AC105" s="7" t="str">
        <f>IF(AND(V105=0,W105=0,X105=0,Y105=0),
"GD Round not attempted. Active participation is crucial.",
IF(V105=0,
"Participation not attempted. Engage more in discussions.",
IF(V105&gt;=4,
"Outstanding Participation. ",
IF(V105&gt;=2,
"Good Participation. ",
"Needs improvement in Participation. "))) &amp;
IF(W105=0,
"Communication not attempted. Focus on expressing ideas clearly.",
IF(W105&gt;=4,
"Outstanding Communication. ",
IF(W105&gt;=2,
"Good Communication. ",
"Needs improvement in Communication. "))) &amp;
IF(X105=0,
"Presence of Mind not attempted. Work on staying alert during discussions.",
IF(X105&gt;=4,
"Outstanding Presence of Mind. ",
IF(X105&gt;=2,
"Good Presence of Mind. ",
"Needs improvement in Presence of Mind. "))) &amp;
IF(Y105=0,
"Presentation not attempted. Enhance your presentation skills.",
IF(Y105&gt;=4,
"Outstanding Presentation. ",
IF(Y105&gt;=2,
"Good Presentation. ",
"Needs improvement in Presentation. "))))</f>
        <v xml:space="preserve">Outstanding Participation. Good Communication. Good Presence of Mind. Good Presentation. </v>
      </c>
      <c r="AD105" s="88">
        <v>0</v>
      </c>
      <c r="AE105" s="88">
        <v>0</v>
      </c>
      <c r="AF105" s="3">
        <v>0</v>
      </c>
      <c r="AG105" s="87">
        <v>0</v>
      </c>
      <c r="AH105" s="19">
        <f>SUM(AD105:AG105)</f>
        <v>0</v>
      </c>
      <c r="AI105" s="73" t="s">
        <v>259</v>
      </c>
      <c r="AJ105" s="76">
        <v>20</v>
      </c>
      <c r="AK105" s="45" t="str">
        <f>IF(AND(AD105=0,AE105=0,AF105=0,AG105=0),
"HR Round not attempted. It's essential to participate in all assessments.",
IF(AD105=0,
"Values not attempted. Reflect on your core values.",
IF(AD105&gt;=4,
"Outstanding understanding of Values. ",
IF(AD105&gt;=2,
"Good understanding of Values. ",
"Needs improvement in understanding Values. "))) &amp;
IF(AE105=0,
"Career Goal not attempted. Define your career objectives clearly.",
IF(AE105&gt;=4,
"Outstanding clarity in Career Goals. ",
IF(AE105&gt;=2,
"Good clarity in Career Goals. ",
"Needs improvement in defining Career Goals. "))) &amp;
IF(AF105=0,
"Behavior Skills not attempted. Work on interpersonal skills.",
IF(AF105&gt;=4,
"Outstanding Behavior Skills. ",
IF(AF105&gt;=2,
"Good Behavior Skills. ",
"Needs improvement in Behavior Skills. "))) &amp;
IF(AG105=0,
"Role Fitment not attempted. Assess your fit for the role.",
IF(AG105&gt;=4,
"Outstanding Role Fitment. ",
IF(AG105&gt;=2,
"Good Role Fitment. ",
"Needs improvement in Role Fitment. "))))</f>
        <v>HR Round not attempted. It's essential to participate in all assessments.</v>
      </c>
      <c r="AL105" s="65">
        <f>SUM(J105,R105,Z105,AH105)</f>
        <v>17</v>
      </c>
      <c r="AM105" s="57">
        <v>17</v>
      </c>
      <c r="AN105" s="70">
        <v>150</v>
      </c>
      <c r="AO105" s="57">
        <v>94</v>
      </c>
      <c r="AP105" s="52" t="str">
        <f>IF(AND(J105=0,R105=0,Z105=0,AH105=0),
"No participation in any assessment. Please ensure participation in future evaluations.",
IF(J105=0,
"Online Assessment not attempted. Focus on improving basic skills.",
IF(J105&gt;=67.5,
"Outstanding performance in Online Assessment. ",
IF(J105&gt;=45,
"Good performance in Online Assessment. ",
"Needs improvement in Online Assessment. "))) &amp;
IF(R105=0,
"Personal Interview not attempted. Active engagement is essential.",
IF(R105&gt;=16,
"Outstanding performance in Personal Interview. ",
IF(R105&gt;=10,
"Good performance in Personal Interview. ",
"Needs improvement in Personal Interview. "))) &amp;
IF(Z105=0,
"GD Round not attempted. Active participation is crucial.",
IF(Z105&gt;=16,
"Outstanding performance in GD Round. ",
IF(Z105&gt;=10,
"Good performance in GD Round. ",
"Needs improvement in GD Round. "))) &amp;
IF(AH105=0,
"HR Round not attempted. Engage in the assessment process.",
IF(AH105&gt;=16,
"Outstanding performance in HR Round. ",
IF(AH105&gt;=10,
"Good performance in HR Round. ",
"Needs improvement in HR Round."))))</f>
        <v>Online Assessment not attempted. Focus on improving basic skills.Needs improvement in Personal Interview. Good performance in GD Round. HR Round not attempted. Engage in the assessment process.</v>
      </c>
    </row>
    <row r="106" spans="1:42" ht="15.75" customHeight="1">
      <c r="A106">
        <v>103</v>
      </c>
      <c r="B106" s="39" t="s">
        <v>51</v>
      </c>
      <c r="C106" s="40" t="s">
        <v>52</v>
      </c>
      <c r="D106" s="40">
        <v>9878524132</v>
      </c>
      <c r="E106" s="7" t="s">
        <v>253</v>
      </c>
      <c r="F106" s="4"/>
      <c r="G106" s="4"/>
      <c r="H106" s="7">
        <v>3</v>
      </c>
      <c r="I106" s="7">
        <v>6</v>
      </c>
      <c r="J106" s="28">
        <f>SUM(H106:I106)</f>
        <v>9</v>
      </c>
      <c r="K106" s="56">
        <v>9</v>
      </c>
      <c r="L106" s="28">
        <v>90</v>
      </c>
      <c r="M106" s="28" t="str">
        <f>IF(H106=0,
"Aptitude section not attempted. ",
IF(H106&gt;=33.75,
"Outstanding performance in Aptitude. ",
IF(H106&gt;=22.5,
"Good performance in Aptitude. ",
"Needs improvement in Aptitude. "))) &amp;
IF(I106=0,
" General MBA Questions section not attempted. ",
IF(I106&gt;=33.75,
" Outstanding performance in General MBA Questions. ",
IF(I106&gt;=22.5,
" Good performance in General MBA Questions. ",
" Needs improvement in General MBA Questions. ")))</f>
        <v xml:space="preserve">Needs improvement in Aptitude.  Needs improvement in General MBA Questions. </v>
      </c>
      <c r="N106" s="11">
        <v>0</v>
      </c>
      <c r="O106" s="11">
        <v>0</v>
      </c>
      <c r="P106" s="11">
        <v>0</v>
      </c>
      <c r="Q106" s="11">
        <v>0</v>
      </c>
      <c r="R106" s="41">
        <f>SUM(N106:Q106)</f>
        <v>0</v>
      </c>
      <c r="S106" s="60" t="s">
        <v>259</v>
      </c>
      <c r="T106" s="41">
        <v>20</v>
      </c>
      <c r="U106" s="45" t="str">
        <f>IF(AND(N106=0,O106=0,P106=0,Q106=0),
"Personal Interview not attempted. Please ensure participation next time.",
IF(N106=0,
"Self Expression not attempted. Focus on articulating thoughts clearly.",
IF(N106&gt;=4,
"Outstanding Self Expression. ",
IF(N106&gt;=2,
"Good Self Expression. ",
"Needs improvement in Self Expression. "))) &amp;
IF(O106=0,
"Domain Knowledge not attempted. Focus on relevant topics.",
IF(O106&gt;=4,
"Outstanding performance in Domain Knowledge. ",
IF(O106&gt;=2,
"Good performance in Domain Knowledge. ",
"Needs improvement in Domain Knowledge. "))) &amp;
IF(P106=0,
"Thought Process not attempted. Work on organizing your thoughts.",
IF(P106&gt;=4,
"Outstanding Thought Process. ",
IF(P106&gt;=2,
"Good Thought Process. ",
"Needs improvement in Thought Process. "))) &amp;
IF(Q106=0,
"Problem Solving Skills not attempted. Focus on practice.",
IF(Q106&gt;=4,
"Outstanding Problem Solving Skills. ",
IF(Q106&gt;=2,
"Good Problem Solving Skills. ",
"Needs improvement in Problem Solving Skills. "))))</f>
        <v>Personal Interview not attempted. Please ensure participation next time.</v>
      </c>
      <c r="V106" s="43">
        <v>0</v>
      </c>
      <c r="W106" s="11">
        <v>0</v>
      </c>
      <c r="X106" s="3">
        <v>0</v>
      </c>
      <c r="Y106" s="26">
        <v>0</v>
      </c>
      <c r="Z106" s="3">
        <f>SUM(V106:Y106)</f>
        <v>0</v>
      </c>
      <c r="AA106" s="64" t="s">
        <v>259</v>
      </c>
      <c r="AB106" s="69">
        <v>20</v>
      </c>
      <c r="AC106" s="7" t="str">
        <f>IF(AND(V106=0,W106=0,X106=0,Y106=0),
"GD Round not attempted. Active participation is crucial.",
IF(V106=0,
"Participation not attempted. Engage more in discussions.",
IF(V106&gt;=4,
"Outstanding Participation. ",
IF(V106&gt;=2,
"Good Participation. ",
"Needs improvement in Participation. "))) &amp;
IF(W106=0,
"Communication not attempted. Focus on expressing ideas clearly.",
IF(W106&gt;=4,
"Outstanding Communication. ",
IF(W106&gt;=2,
"Good Communication. ",
"Needs improvement in Communication. "))) &amp;
IF(X106=0,
"Presence of Mind not attempted. Work on staying alert during discussions.",
IF(X106&gt;=4,
"Outstanding Presence of Mind. ",
IF(X106&gt;=2,
"Good Presence of Mind. ",
"Needs improvement in Presence of Mind. "))) &amp;
IF(Y106=0,
"Presentation not attempted. Enhance your presentation skills.",
IF(Y106&gt;=4,
"Outstanding Presentation. ",
IF(Y106&gt;=2,
"Good Presentation. ",
"Needs improvement in Presentation. "))))</f>
        <v>GD Round not attempted. Active participation is crucial.</v>
      </c>
      <c r="AD106" s="43">
        <v>0</v>
      </c>
      <c r="AE106" s="11">
        <v>0</v>
      </c>
      <c r="AF106" s="3">
        <v>0</v>
      </c>
      <c r="AG106" s="26">
        <v>0</v>
      </c>
      <c r="AH106" s="19">
        <f>SUM(AD106:AG106)</f>
        <v>0</v>
      </c>
      <c r="AI106" s="73" t="s">
        <v>259</v>
      </c>
      <c r="AJ106" s="76">
        <v>20</v>
      </c>
      <c r="AK106" s="45" t="str">
        <f>IF(AND(AD106=0,AE106=0,AF106=0,AG106=0),
"HR Round not attempted. It's essential to participate in all assessments.",
IF(AD106=0,
"Values not attempted. Reflect on your core values.",
IF(AD106&gt;=4,
"Outstanding understanding of Values. ",
IF(AD106&gt;=2,
"Good understanding of Values. ",
"Needs improvement in understanding Values. "))) &amp;
IF(AE106=0,
"Career Goal not attempted. Define your career objectives clearly.",
IF(AE106&gt;=4,
"Outstanding clarity in Career Goals. ",
IF(AE106&gt;=2,
"Good clarity in Career Goals. ",
"Needs improvement in defining Career Goals. "))) &amp;
IF(AF106=0,
"Behavior Skills not attempted. Work on interpersonal skills.",
IF(AF106&gt;=4,
"Outstanding Behavior Skills. ",
IF(AF106&gt;=2,
"Good Behavior Skills. ",
"Needs improvement in Behavior Skills. "))) &amp;
IF(AG106=0,
"Role Fitment not attempted. Assess your fit for the role.",
IF(AG106&gt;=4,
"Outstanding Role Fitment. ",
IF(AG106&gt;=2,
"Good Role Fitment. ",
"Needs improvement in Role Fitment. "))))</f>
        <v>HR Round not attempted. It's essential to participate in all assessments.</v>
      </c>
      <c r="AL106" s="65">
        <f>SUM(J106,R106,Z106,AH106)</f>
        <v>9</v>
      </c>
      <c r="AM106" s="57">
        <v>9</v>
      </c>
      <c r="AN106" s="70">
        <v>150</v>
      </c>
      <c r="AO106" s="57">
        <v>95</v>
      </c>
      <c r="AP106" s="52" t="str">
        <f>IF(AND(J106=0,R106=0,Z106=0,AH106=0),
"No participation in any assessment. Please ensure participation in future evaluations.",
IF(J106=0,
"Online Assessment not attempted. Focus on improving basic skills.",
IF(J106&gt;=67.5,
"Outstanding performance in Online Assessment. ",
IF(J106&gt;=45,
"Good performance in Online Assessment. ",
"Needs improvement in Online Assessment. "))) &amp;
IF(R106=0,
"Personal Interview not attempted. Active engagement is essential.",
IF(R106&gt;=16,
"Outstanding performance in Personal Interview. ",
IF(R106&gt;=10,
"Good performance in Personal Interview. ",
"Needs improvement in Personal Interview. "))) &amp;
IF(Z106=0,
"GD Round not attempted. Active participation is crucial.",
IF(Z106&gt;=16,
"Outstanding performance in GD Round. ",
IF(Z106&gt;=10,
"Good performance in GD Round. ",
"Needs improvement in GD Round. "))) &amp;
IF(AH106=0,
"HR Round not attempted. Engage in the assessment process.",
IF(AH106&gt;=16,
"Outstanding performance in HR Round. ",
IF(AH106&gt;=10,
"Good performance in HR Round. ",
"Needs improvement in HR Round."))))</f>
        <v>Needs improvement in Online Assessment. Personal Interview not attempted. Active engagement is essential.GD Round not attempted. Active participation is crucial.HR Round not attempted. Engage in the assessment process.</v>
      </c>
    </row>
    <row r="107" spans="1:42" ht="15.75" customHeight="1">
      <c r="A107">
        <v>104</v>
      </c>
      <c r="B107" s="39" t="s">
        <v>237</v>
      </c>
      <c r="C107" s="40" t="s">
        <v>238</v>
      </c>
      <c r="D107" s="40">
        <v>7009047837</v>
      </c>
      <c r="E107" s="7" t="s">
        <v>253</v>
      </c>
      <c r="F107" s="7"/>
      <c r="G107" s="7"/>
      <c r="H107" s="7">
        <v>0</v>
      </c>
      <c r="I107" s="7">
        <v>0</v>
      </c>
      <c r="J107" s="28">
        <f>SUM(H107:I107)</f>
        <v>0</v>
      </c>
      <c r="K107" s="56" t="s">
        <v>259</v>
      </c>
      <c r="L107" s="28">
        <v>90</v>
      </c>
      <c r="M107" s="28" t="str">
        <f>IF(H107=0,
"Aptitude section not attempted. ",
IF(H107&gt;=33.75,
"Outstanding performance in Aptitude. ",
IF(H107&gt;=22.5,
"Good performance in Aptitude. ",
"Needs improvement in Aptitude. "))) &amp;
IF(I107=0,
" General MBA Questions section not attempted. ",
IF(I107&gt;=33.75,
" Outstanding performance in General MBA Questions. ",
IF(I107&gt;=22.5,
" Good performance in General MBA Questions. ",
" Needs improvement in General MBA Questions. ")))</f>
        <v xml:space="preserve">Aptitude section not attempted.  General MBA Questions section not attempted. </v>
      </c>
      <c r="N107" s="11">
        <v>0</v>
      </c>
      <c r="O107" s="11">
        <v>0</v>
      </c>
      <c r="P107" s="11">
        <v>0</v>
      </c>
      <c r="Q107" s="11">
        <v>0</v>
      </c>
      <c r="R107" s="41">
        <f>SUM(N107:Q107)</f>
        <v>0</v>
      </c>
      <c r="S107" s="60" t="s">
        <v>259</v>
      </c>
      <c r="T107" s="41">
        <v>20</v>
      </c>
      <c r="U107" s="45" t="str">
        <f>IF(AND(N107=0,O107=0,P107=0,Q107=0),
"Personal Interview not attempted. Please ensure participation next time.",
IF(N107=0,
"Self Expression not attempted. Focus on articulating thoughts clearly.",
IF(N107&gt;=4,
"Outstanding Self Expression. ",
IF(N107&gt;=2,
"Good Self Expression. ",
"Needs improvement in Self Expression. "))) &amp;
IF(O107=0,
"Domain Knowledge not attempted. Focus on relevant topics.",
IF(O107&gt;=4,
"Outstanding performance in Domain Knowledge. ",
IF(O107&gt;=2,
"Good performance in Domain Knowledge. ",
"Needs improvement in Domain Knowledge. "))) &amp;
IF(P107=0,
"Thought Process not attempted. Work on organizing your thoughts.",
IF(P107&gt;=4,
"Outstanding Thought Process. ",
IF(P107&gt;=2,
"Good Thought Process. ",
"Needs improvement in Thought Process. "))) &amp;
IF(Q107=0,
"Problem Solving Skills not attempted. Focus on practice.",
IF(Q107&gt;=4,
"Outstanding Problem Solving Skills. ",
IF(Q107&gt;=2,
"Good Problem Solving Skills. ",
"Needs improvement in Problem Solving Skills. "))))</f>
        <v>Personal Interview not attempted. Please ensure participation next time.</v>
      </c>
      <c r="V107" s="43">
        <v>2</v>
      </c>
      <c r="W107" s="11">
        <v>2</v>
      </c>
      <c r="X107" s="3">
        <v>2</v>
      </c>
      <c r="Y107" s="87">
        <v>2</v>
      </c>
      <c r="Z107" s="3">
        <f>SUM(V107:Y107)</f>
        <v>8</v>
      </c>
      <c r="AA107" s="57">
        <v>8</v>
      </c>
      <c r="AB107" s="69">
        <v>20</v>
      </c>
      <c r="AC107" s="7" t="str">
        <f>IF(AND(V107=0,W107=0,X107=0,Y107=0),
"GD Round not attempted. Active participation is crucial.",
IF(V107=0,
"Participation not attempted. Engage more in discussions.",
IF(V107&gt;=4,
"Outstanding Participation. ",
IF(V107&gt;=2,
"Good Participation. ",
"Needs improvement in Participation. "))) &amp;
IF(W107=0,
"Communication not attempted. Focus on expressing ideas clearly.",
IF(W107&gt;=4,
"Outstanding Communication. ",
IF(W107&gt;=2,
"Good Communication. ",
"Needs improvement in Communication. "))) &amp;
IF(X107=0,
"Presence of Mind not attempted. Work on staying alert during discussions.",
IF(X107&gt;=4,
"Outstanding Presence of Mind. ",
IF(X107&gt;=2,
"Good Presence of Mind. ",
"Needs improvement in Presence of Mind. "))) &amp;
IF(Y107=0,
"Presentation not attempted. Enhance your presentation skills.",
IF(Y107&gt;=4,
"Outstanding Presentation. ",
IF(Y107&gt;=2,
"Good Presentation. ",
"Needs improvement in Presentation. "))))</f>
        <v xml:space="preserve">Good Participation. Good Communication. Good Presence of Mind. Good Presentation. </v>
      </c>
      <c r="AD107" s="43">
        <v>0</v>
      </c>
      <c r="AE107" s="11">
        <v>0</v>
      </c>
      <c r="AF107" s="90">
        <v>0</v>
      </c>
      <c r="AG107" s="26">
        <v>0</v>
      </c>
      <c r="AH107" s="19">
        <f>SUM(AD107:AG107)</f>
        <v>0</v>
      </c>
      <c r="AI107" s="73" t="s">
        <v>259</v>
      </c>
      <c r="AJ107" s="76">
        <v>20</v>
      </c>
      <c r="AK107" s="45" t="str">
        <f>IF(AND(AD107=0,AE107=0,AF107=0,AG107=0),
"HR Round not attempted. It's essential to participate in all assessments.",
IF(AD107=0,
"Values not attempted. Reflect on your core values.",
IF(AD107&gt;=4,
"Outstanding understanding of Values. ",
IF(AD107&gt;=2,
"Good understanding of Values. ",
"Needs improvement in understanding Values. "))) &amp;
IF(AE107=0,
"Career Goal not attempted. Define your career objectives clearly.",
IF(AE107&gt;=4,
"Outstanding clarity in Career Goals. ",
IF(AE107&gt;=2,
"Good clarity in Career Goals. ",
"Needs improvement in defining Career Goals. "))) &amp;
IF(AF107=0,
"Behavior Skills not attempted. Work on interpersonal skills.",
IF(AF107&gt;=4,
"Outstanding Behavior Skills. ",
IF(AF107&gt;=2,
"Good Behavior Skills. ",
"Needs improvement in Behavior Skills. "))) &amp;
IF(AG107=0,
"Role Fitment not attempted. Assess your fit for the role.",
IF(AG107&gt;=4,
"Outstanding Role Fitment. ",
IF(AG107&gt;=2,
"Good Role Fitment. ",
"Needs improvement in Role Fitment. "))))</f>
        <v>HR Round not attempted. It's essential to participate in all assessments.</v>
      </c>
      <c r="AL107" s="65">
        <f>SUM(J107,R107,Z107,AH107)</f>
        <v>8</v>
      </c>
      <c r="AM107" s="57">
        <v>8</v>
      </c>
      <c r="AN107" s="70">
        <v>150</v>
      </c>
      <c r="AO107" s="57">
        <v>96</v>
      </c>
      <c r="AP107" s="52" t="str">
        <f>IF(AND(J107=0,R107=0,Z107=0,AH107=0),
"No participation in any assessment. Please ensure participation in future evaluations.",
IF(J107=0,
"Online Assessment not attempted. Focus on improving basic skills.",
IF(J107&gt;=67.5,
"Outstanding performance in Online Assessment. ",
IF(J107&gt;=45,
"Good performance in Online Assessment. ",
"Needs improvement in Online Assessment. "))) &amp;
IF(R107=0,
"Personal Interview not attempted. Active engagement is essential.",
IF(R107&gt;=16,
"Outstanding performance in Personal Interview. ",
IF(R107&gt;=10,
"Good performance in Personal Interview. ",
"Needs improvement in Personal Interview. "))) &amp;
IF(Z107=0,
"GD Round not attempted. Active participation is crucial.",
IF(Z107&gt;=16,
"Outstanding performance in GD Round. ",
IF(Z107&gt;=10,
"Good performance in GD Round. ",
"Needs improvement in GD Round. "))) &amp;
IF(AH107=0,
"HR Round not attempted. Engage in the assessment process.",
IF(AH107&gt;=16,
"Outstanding performance in HR Round. ",
IF(AH107&gt;=10,
"Good performance in HR Round. ",
"Needs improvement in HR Round."))))</f>
        <v>Online Assessment not attempted. Focus on improving basic skills.Personal Interview not attempted. Active engagement is essential.Needs improvement in GD Round. HR Round not attempted. Engage in the assessment process.</v>
      </c>
    </row>
    <row r="108" spans="1:42" ht="15.75" customHeight="1">
      <c r="A108">
        <v>105</v>
      </c>
      <c r="B108" s="39" t="s">
        <v>241</v>
      </c>
      <c r="C108" s="40" t="s">
        <v>242</v>
      </c>
      <c r="D108" s="40">
        <v>6239341450</v>
      </c>
      <c r="E108" s="7" t="s">
        <v>253</v>
      </c>
      <c r="F108" s="7"/>
      <c r="G108" s="7"/>
      <c r="H108" s="7">
        <v>0</v>
      </c>
      <c r="I108" s="7">
        <v>0</v>
      </c>
      <c r="J108" s="28">
        <f>SUM(H108:I108)</f>
        <v>0</v>
      </c>
      <c r="K108" s="56" t="s">
        <v>259</v>
      </c>
      <c r="L108" s="28">
        <v>90</v>
      </c>
      <c r="M108" s="28" t="str">
        <f>IF(H108=0,
"Aptitude section not attempted. ",
IF(H108&gt;=33.75,
"Outstanding performance in Aptitude. ",
IF(H108&gt;=22.5,
"Good performance in Aptitude. ",
"Needs improvement in Aptitude. "))) &amp;
IF(I108=0,
" General MBA Questions section not attempted. ",
IF(I108&gt;=33.75,
" Outstanding performance in General MBA Questions. ",
IF(I108&gt;=22.5,
" Good performance in General MBA Questions. ",
" Needs improvement in General MBA Questions. ")))</f>
        <v xml:space="preserve">Aptitude section not attempted.  General MBA Questions section not attempted. </v>
      </c>
      <c r="N108" s="11">
        <v>0</v>
      </c>
      <c r="O108" s="11">
        <v>0</v>
      </c>
      <c r="P108" s="11">
        <v>0</v>
      </c>
      <c r="Q108" s="11">
        <v>0</v>
      </c>
      <c r="R108" s="41">
        <f>SUM(N108:Q108)</f>
        <v>0</v>
      </c>
      <c r="S108" s="60" t="s">
        <v>259</v>
      </c>
      <c r="T108" s="41">
        <v>20</v>
      </c>
      <c r="U108" s="45" t="str">
        <f>IF(AND(N108=0,O108=0,P108=0,Q108=0),
"Personal Interview not attempted. Please ensure participation next time.",
IF(N108=0,
"Self Expression not attempted. Focus on articulating thoughts clearly.",
IF(N108&gt;=4,
"Outstanding Self Expression. ",
IF(N108&gt;=2,
"Good Self Expression. ",
"Needs improvement in Self Expression. "))) &amp;
IF(O108=0,
"Domain Knowledge not attempted. Focus on relevant topics.",
IF(O108&gt;=4,
"Outstanding performance in Domain Knowledge. ",
IF(O108&gt;=2,
"Good performance in Domain Knowledge. ",
"Needs improvement in Domain Knowledge. "))) &amp;
IF(P108=0,
"Thought Process not attempted. Work on organizing your thoughts.",
IF(P108&gt;=4,
"Outstanding Thought Process. ",
IF(P108&gt;=2,
"Good Thought Process. ",
"Needs improvement in Thought Process. "))) &amp;
IF(Q108=0,
"Problem Solving Skills not attempted. Focus on practice.",
IF(Q108&gt;=4,
"Outstanding Problem Solving Skills. ",
IF(Q108&gt;=2,
"Good Problem Solving Skills. ",
"Needs improvement in Problem Solving Skills. "))))</f>
        <v>Personal Interview not attempted. Please ensure participation next time.</v>
      </c>
      <c r="V108" s="43">
        <v>0</v>
      </c>
      <c r="W108" s="11">
        <v>0</v>
      </c>
      <c r="X108" s="3">
        <v>0</v>
      </c>
      <c r="Y108">
        <v>0</v>
      </c>
      <c r="Z108" s="3">
        <f>SUM(V108:Y108)</f>
        <v>0</v>
      </c>
      <c r="AA108" s="64" t="s">
        <v>259</v>
      </c>
      <c r="AB108" s="69">
        <v>20</v>
      </c>
      <c r="AC108" s="7" t="str">
        <f>IF(AND(V108=0,W108=0,X108=0,Y108=0),
"GD Round not attempted. Active participation is crucial.",
IF(V108=0,
"Participation not attempted. Engage more in discussions.",
IF(V108&gt;=4,
"Outstanding Participation. ",
IF(V108&gt;=2,
"Good Participation. ",
"Needs improvement in Participation. "))) &amp;
IF(W108=0,
"Communication not attempted. Focus on expressing ideas clearly.",
IF(W108&gt;=4,
"Outstanding Communication. ",
IF(W108&gt;=2,
"Good Communication. ",
"Needs improvement in Communication. "))) &amp;
IF(X108=0,
"Presence of Mind not attempted. Work on staying alert during discussions.",
IF(X108&gt;=4,
"Outstanding Presence of Mind. ",
IF(X108&gt;=2,
"Good Presence of Mind. ",
"Needs improvement in Presence of Mind. "))) &amp;
IF(Y108=0,
"Presentation not attempted. Enhance your presentation skills.",
IF(Y108&gt;=4,
"Outstanding Presentation. ",
IF(Y108&gt;=2,
"Good Presentation. ",
"Needs improvement in Presentation. "))))</f>
        <v>GD Round not attempted. Active participation is crucial.</v>
      </c>
      <c r="AD108" s="43">
        <v>0</v>
      </c>
      <c r="AE108" s="11">
        <v>0</v>
      </c>
      <c r="AF108" s="3">
        <v>0</v>
      </c>
      <c r="AG108" s="26">
        <v>0</v>
      </c>
      <c r="AH108" s="19">
        <f>SUM(AD108:AG108)</f>
        <v>0</v>
      </c>
      <c r="AI108" s="73" t="s">
        <v>259</v>
      </c>
      <c r="AJ108" s="76">
        <v>20</v>
      </c>
      <c r="AK108" s="45" t="str">
        <f>IF(AND(AD108=0,AE108=0,AF108=0,AG108=0),
"HR Round not attempted. It's essential to participate in all assessments.",
IF(AD108=0,
"Values not attempted. Reflect on your core values.",
IF(AD108&gt;=4,
"Outstanding understanding of Values. ",
IF(AD108&gt;=2,
"Good understanding of Values. ",
"Needs improvement in understanding Values. "))) &amp;
IF(AE108=0,
"Career Goal not attempted. Define your career objectives clearly.",
IF(AE108&gt;=4,
"Outstanding clarity in Career Goals. ",
IF(AE108&gt;=2,
"Good clarity in Career Goals. ",
"Needs improvement in defining Career Goals. "))) &amp;
IF(AF108=0,
"Behavior Skills not attempted. Work on interpersonal skills.",
IF(AF108&gt;=4,
"Outstanding Behavior Skills. ",
IF(AF108&gt;=2,
"Good Behavior Skills. ",
"Needs improvement in Behavior Skills. "))) &amp;
IF(AG108=0,
"Role Fitment not attempted. Assess your fit for the role.",
IF(AG108&gt;=4,
"Outstanding Role Fitment. ",
IF(AG108&gt;=2,
"Good Role Fitment. ",
"Needs improvement in Role Fitment. "))))</f>
        <v>HR Round not attempted. It's essential to participate in all assessments.</v>
      </c>
      <c r="AL108" s="65">
        <f>SUM(J108,R108,Z108,AH108)</f>
        <v>0</v>
      </c>
      <c r="AM108" s="57">
        <v>0</v>
      </c>
      <c r="AN108" s="70">
        <v>150</v>
      </c>
      <c r="AO108" s="64" t="s">
        <v>259</v>
      </c>
      <c r="AP108" s="52" t="str">
        <f>IF(AND(J108=0,R108=0,Z108=0,AH108=0),
"No participation in any assessment. Please ensure participation in future evaluations.",
IF(J108=0,
"Online Assessment not attempted. Focus on improving basic skills.",
IF(J108&gt;=67.5,
"Outstanding performance in Online Assessment. ",
IF(J108&gt;=45,
"Good performance in Online Assessment. ",
"Needs improvement in Online Assessment. "))) &amp;
IF(R108=0,
"Personal Interview not attempted. Active engagement is essential.",
IF(R108&gt;=16,
"Outstanding performance in Personal Interview. ",
IF(R108&gt;=10,
"Good performance in Personal Interview. ",
"Needs improvement in Personal Interview. "))) &amp;
IF(Z108=0,
"GD Round not attempted. Active participation is crucial.",
IF(Z108&gt;=16,
"Outstanding performance in GD Round. ",
IF(Z108&gt;=10,
"Good performance in GD Round. ",
"Needs improvement in GD Round. "))) &amp;
IF(AH108=0,
"HR Round not attempted. Engage in the assessment process.",
IF(AH108&gt;=16,
"Outstanding performance in HR Round. ",
IF(AH108&gt;=10,
"Good performance in HR Round. ",
"Needs improvement in HR Round."))))</f>
        <v>No participation in any assessment. Please ensure participation in future evaluations.</v>
      </c>
    </row>
    <row r="109" spans="1:42" ht="15.75" customHeight="1">
      <c r="A109">
        <v>106</v>
      </c>
      <c r="B109" s="39" t="s">
        <v>221</v>
      </c>
      <c r="C109" s="40" t="s">
        <v>222</v>
      </c>
      <c r="D109" s="40">
        <v>7876111690</v>
      </c>
      <c r="E109" s="7" t="s">
        <v>253</v>
      </c>
      <c r="F109" s="7"/>
      <c r="G109" s="7"/>
      <c r="H109" s="7">
        <v>0</v>
      </c>
      <c r="I109" s="7">
        <v>0</v>
      </c>
      <c r="J109" s="28">
        <f>SUM(H109:I109)</f>
        <v>0</v>
      </c>
      <c r="K109" s="56" t="s">
        <v>259</v>
      </c>
      <c r="L109" s="28">
        <v>90</v>
      </c>
      <c r="M109" s="28" t="str">
        <f>IF(H109=0,
"Aptitude section not attempted. ",
IF(H109&gt;=33.75,
"Outstanding performance in Aptitude. ",
IF(H109&gt;=22.5,
"Good performance in Aptitude. ",
"Needs improvement in Aptitude. "))) &amp;
IF(I109=0,
" General MBA Questions section not attempted. ",
IF(I109&gt;=33.75,
" Outstanding performance in General MBA Questions. ",
IF(I109&gt;=22.5,
" Good performance in General MBA Questions. ",
" Needs improvement in General MBA Questions. ")))</f>
        <v xml:space="preserve">Aptitude section not attempted.  General MBA Questions section not attempted. </v>
      </c>
      <c r="N109" s="11">
        <v>0</v>
      </c>
      <c r="O109" s="11">
        <v>0</v>
      </c>
      <c r="P109" s="11">
        <v>0</v>
      </c>
      <c r="Q109" s="11">
        <v>0</v>
      </c>
      <c r="R109" s="41">
        <f>SUM(N109:Q109)</f>
        <v>0</v>
      </c>
      <c r="S109" s="60" t="s">
        <v>259</v>
      </c>
      <c r="T109" s="41">
        <v>20</v>
      </c>
      <c r="U109" s="45" t="str">
        <f>IF(AND(N109=0,O109=0,P109=0,Q109=0),
"Personal Interview not attempted. Please ensure participation next time.",
IF(N109=0,
"Self Expression not attempted. Focus on articulating thoughts clearly.",
IF(N109&gt;=4,
"Outstanding Self Expression. ",
IF(N109&gt;=2,
"Good Self Expression. ",
"Needs improvement in Self Expression. "))) &amp;
IF(O109=0,
"Domain Knowledge not attempted. Focus on relevant topics.",
IF(O109&gt;=4,
"Outstanding performance in Domain Knowledge. ",
IF(O109&gt;=2,
"Good performance in Domain Knowledge. ",
"Needs improvement in Domain Knowledge. "))) &amp;
IF(P109=0,
"Thought Process not attempted. Work on organizing your thoughts.",
IF(P109&gt;=4,
"Outstanding Thought Process. ",
IF(P109&gt;=2,
"Good Thought Process. ",
"Needs improvement in Thought Process. "))) &amp;
IF(Q109=0,
"Problem Solving Skills not attempted. Focus on practice.",
IF(Q109&gt;=4,
"Outstanding Problem Solving Skills. ",
IF(Q109&gt;=2,
"Good Problem Solving Skills. ",
"Needs improvement in Problem Solving Skills. "))))</f>
        <v>Personal Interview not attempted. Please ensure participation next time.</v>
      </c>
      <c r="V109" s="43">
        <v>0</v>
      </c>
      <c r="W109" s="11">
        <v>0</v>
      </c>
      <c r="X109" s="3">
        <v>0</v>
      </c>
      <c r="Y109" s="87">
        <v>0</v>
      </c>
      <c r="Z109" s="3">
        <f>SUM(V109:Y109)</f>
        <v>0</v>
      </c>
      <c r="AA109" s="64" t="s">
        <v>259</v>
      </c>
      <c r="AB109" s="69">
        <v>20</v>
      </c>
      <c r="AC109" s="7" t="str">
        <f>IF(AND(V109=0,W109=0,X109=0,Y109=0),
"GD Round not attempted. Active participation is crucial.",
IF(V109=0,
"Participation not attempted. Engage more in discussions.",
IF(V109&gt;=4,
"Outstanding Participation. ",
IF(V109&gt;=2,
"Good Participation. ",
"Needs improvement in Participation. "))) &amp;
IF(W109=0,
"Communication not attempted. Focus on expressing ideas clearly.",
IF(W109&gt;=4,
"Outstanding Communication. ",
IF(W109&gt;=2,
"Good Communication. ",
"Needs improvement in Communication. "))) &amp;
IF(X109=0,
"Presence of Mind not attempted. Work on staying alert during discussions.",
IF(X109&gt;=4,
"Outstanding Presence of Mind. ",
IF(X109&gt;=2,
"Good Presence of Mind. ",
"Needs improvement in Presence of Mind. "))) &amp;
IF(Y109=0,
"Presentation not attempted. Enhance your presentation skills.",
IF(Y109&gt;=4,
"Outstanding Presentation. ",
IF(Y109&gt;=2,
"Good Presentation. ",
"Needs improvement in Presentation. "))))</f>
        <v>GD Round not attempted. Active participation is crucial.</v>
      </c>
      <c r="AD109" s="88">
        <v>0</v>
      </c>
      <c r="AE109" s="88">
        <v>0</v>
      </c>
      <c r="AF109" s="90">
        <v>0</v>
      </c>
      <c r="AG109" s="87">
        <v>0</v>
      </c>
      <c r="AH109" s="19">
        <f>SUM(AD109:AG109)</f>
        <v>0</v>
      </c>
      <c r="AI109" s="73" t="s">
        <v>259</v>
      </c>
      <c r="AJ109" s="76">
        <v>20</v>
      </c>
      <c r="AK109" s="45" t="str">
        <f>IF(AND(AD109=0,AE109=0,AF109=0,AG109=0),
"HR Round not attempted. It's essential to participate in all assessments.",
IF(AD109=0,
"Values not attempted. Reflect on your core values.",
IF(AD109&gt;=4,
"Outstanding understanding of Values. ",
IF(AD109&gt;=2,
"Good understanding of Values. ",
"Needs improvement in understanding Values. "))) &amp;
IF(AE109=0,
"Career Goal not attempted. Define your career objectives clearly.",
IF(AE109&gt;=4,
"Outstanding clarity in Career Goals. ",
IF(AE109&gt;=2,
"Good clarity in Career Goals. ",
"Needs improvement in defining Career Goals. "))) &amp;
IF(AF109=0,
"Behavior Skills not attempted. Work on interpersonal skills.",
IF(AF109&gt;=4,
"Outstanding Behavior Skills. ",
IF(AF109&gt;=2,
"Good Behavior Skills. ",
"Needs improvement in Behavior Skills. "))) &amp;
IF(AG109=0,
"Role Fitment not attempted. Assess your fit for the role.",
IF(AG109&gt;=4,
"Outstanding Role Fitment. ",
IF(AG109&gt;=2,
"Good Role Fitment. ",
"Needs improvement in Role Fitment. "))))</f>
        <v>HR Round not attempted. It's essential to participate in all assessments.</v>
      </c>
      <c r="AL109" s="65">
        <f>SUM(J109,R109,Z109,AH109)</f>
        <v>0</v>
      </c>
      <c r="AM109" s="57">
        <v>0</v>
      </c>
      <c r="AN109" s="70">
        <v>150</v>
      </c>
      <c r="AO109" s="64" t="s">
        <v>259</v>
      </c>
      <c r="AP109" s="52" t="str">
        <f>IF(AND(J109=0,R109=0,Z109=0,AH109=0),
"No participation in any assessment. Please ensure participation in future evaluations.",
IF(J109=0,
"Online Assessment not attempted. Focus on improving basic skills.",
IF(J109&gt;=67.5,
"Outstanding performance in Online Assessment. ",
IF(J109&gt;=45,
"Good performance in Online Assessment. ",
"Needs improvement in Online Assessment. "))) &amp;
IF(R109=0,
"Personal Interview not attempted. Active engagement is essential.",
IF(R109&gt;=16,
"Outstanding performance in Personal Interview. ",
IF(R109&gt;=10,
"Good performance in Personal Interview. ",
"Needs improvement in Personal Interview. "))) &amp;
IF(Z109=0,
"GD Round not attempted. Active participation is crucial.",
IF(Z109&gt;=16,
"Outstanding performance in GD Round. ",
IF(Z109&gt;=10,
"Good performance in GD Round. ",
"Needs improvement in GD Round. "))) &amp;
IF(AH109=0,
"HR Round not attempted. Engage in the assessment process.",
IF(AH109&gt;=16,
"Outstanding performance in HR Round. ",
IF(AH109&gt;=10,
"Good performance in HR Round. ",
"Needs improvement in HR Round."))))</f>
        <v>No participation in any assessment. Please ensure participation in future evaluations.</v>
      </c>
    </row>
    <row r="110" spans="1:42" ht="15.75" customHeight="1">
      <c r="A110">
        <v>107</v>
      </c>
      <c r="B110" s="39" t="s">
        <v>63</v>
      </c>
      <c r="C110" s="40" t="s">
        <v>64</v>
      </c>
      <c r="D110" s="40">
        <v>8837851188</v>
      </c>
      <c r="E110" s="7" t="s">
        <v>253</v>
      </c>
      <c r="F110" s="4"/>
      <c r="G110" s="4"/>
      <c r="H110" s="7">
        <v>0</v>
      </c>
      <c r="I110" s="7">
        <v>0</v>
      </c>
      <c r="J110" s="28">
        <f>SUM(H110:I110)</f>
        <v>0</v>
      </c>
      <c r="K110" s="56" t="s">
        <v>259</v>
      </c>
      <c r="L110" s="28">
        <v>90</v>
      </c>
      <c r="M110" s="28" t="str">
        <f>IF(H110=0,
"Aptitude section not attempted. ",
IF(H110&gt;=33.75,
"Outstanding performance in Aptitude. ",
IF(H110&gt;=22.5,
"Good performance in Aptitude. ",
"Needs improvement in Aptitude. "))) &amp;
IF(I110=0,
" General MBA Questions section not attempted. ",
IF(I110&gt;=33.75,
" Outstanding performance in General MBA Questions. ",
IF(I110&gt;=22.5,
" Good performance in General MBA Questions. ",
" Needs improvement in General MBA Questions. ")))</f>
        <v xml:space="preserve">Aptitude section not attempted.  General MBA Questions section not attempted. </v>
      </c>
      <c r="N110" s="11">
        <v>0</v>
      </c>
      <c r="O110" s="11">
        <v>0</v>
      </c>
      <c r="P110" s="11">
        <v>0</v>
      </c>
      <c r="Q110" s="11">
        <v>0</v>
      </c>
      <c r="R110" s="41">
        <f>SUM(N110:Q110)</f>
        <v>0</v>
      </c>
      <c r="S110" s="60" t="s">
        <v>259</v>
      </c>
      <c r="T110" s="41">
        <v>20</v>
      </c>
      <c r="U110" s="45" t="str">
        <f>IF(AND(N110=0,O110=0,P110=0,Q110=0),
"Personal Interview not attempted. Please ensure participation next time.",
IF(N110=0,
"Self Expression not attempted. Focus on articulating thoughts clearly.",
IF(N110&gt;=4,
"Outstanding Self Expression. ",
IF(N110&gt;=2,
"Good Self Expression. ",
"Needs improvement in Self Expression. "))) &amp;
IF(O110=0,
"Domain Knowledge not attempted. Focus on relevant topics.",
IF(O110&gt;=4,
"Outstanding performance in Domain Knowledge. ",
IF(O110&gt;=2,
"Good performance in Domain Knowledge. ",
"Needs improvement in Domain Knowledge. "))) &amp;
IF(P110=0,
"Thought Process not attempted. Work on organizing your thoughts.",
IF(P110&gt;=4,
"Outstanding Thought Process. ",
IF(P110&gt;=2,
"Good Thought Process. ",
"Needs improvement in Thought Process. "))) &amp;
IF(Q110=0,
"Problem Solving Skills not attempted. Focus on practice.",
IF(Q110&gt;=4,
"Outstanding Problem Solving Skills. ",
IF(Q110&gt;=2,
"Good Problem Solving Skills. ",
"Needs improvement in Problem Solving Skills. "))))</f>
        <v>Personal Interview not attempted. Please ensure participation next time.</v>
      </c>
      <c r="V110" s="43">
        <v>0</v>
      </c>
      <c r="W110" s="11">
        <v>0</v>
      </c>
      <c r="X110" s="3">
        <v>0</v>
      </c>
      <c r="Y110" s="87">
        <v>0</v>
      </c>
      <c r="Z110" s="3">
        <f>SUM(V110:Y110)</f>
        <v>0</v>
      </c>
      <c r="AA110" s="64" t="s">
        <v>259</v>
      </c>
      <c r="AB110" s="69">
        <v>20</v>
      </c>
      <c r="AC110" s="7" t="str">
        <f>IF(AND(V110=0,W110=0,X110=0,Y110=0),
"GD Round not attempted. Active participation is crucial.",
IF(V110=0,
"Participation not attempted. Engage more in discussions.",
IF(V110&gt;=4,
"Outstanding Participation. ",
IF(V110&gt;=2,
"Good Participation. ",
"Needs improvement in Participation. "))) &amp;
IF(W110=0,
"Communication not attempted. Focus on expressing ideas clearly.",
IF(W110&gt;=4,
"Outstanding Communication. ",
IF(W110&gt;=2,
"Good Communication. ",
"Needs improvement in Communication. "))) &amp;
IF(X110=0,
"Presence of Mind not attempted. Work on staying alert during discussions.",
IF(X110&gt;=4,
"Outstanding Presence of Mind. ",
IF(X110&gt;=2,
"Good Presence of Mind. ",
"Needs improvement in Presence of Mind. "))) &amp;
IF(Y110=0,
"Presentation not attempted. Enhance your presentation skills.",
IF(Y110&gt;=4,
"Outstanding Presentation. ",
IF(Y110&gt;=2,
"Good Presentation. ",
"Needs improvement in Presentation. "))))</f>
        <v>GD Round not attempted. Active participation is crucial.</v>
      </c>
      <c r="AD110" s="43">
        <v>0</v>
      </c>
      <c r="AE110" s="11">
        <v>0</v>
      </c>
      <c r="AF110" s="90">
        <v>0</v>
      </c>
      <c r="AG110" s="26">
        <v>0</v>
      </c>
      <c r="AH110" s="19">
        <f>SUM(AD110:AG110)</f>
        <v>0</v>
      </c>
      <c r="AI110" s="73" t="s">
        <v>259</v>
      </c>
      <c r="AJ110" s="76">
        <v>20</v>
      </c>
      <c r="AK110" s="45" t="str">
        <f>IF(AND(AD110=0,AE110=0,AF110=0,AG110=0),
"HR Round not attempted. It's essential to participate in all assessments.",
IF(AD110=0,
"Values not attempted. Reflect on your core values.",
IF(AD110&gt;=4,
"Outstanding understanding of Values. ",
IF(AD110&gt;=2,
"Good understanding of Values. ",
"Needs improvement in understanding Values. "))) &amp;
IF(AE110=0,
"Career Goal not attempted. Define your career objectives clearly.",
IF(AE110&gt;=4,
"Outstanding clarity in Career Goals. ",
IF(AE110&gt;=2,
"Good clarity in Career Goals. ",
"Needs improvement in defining Career Goals. "))) &amp;
IF(AF110=0,
"Behavior Skills not attempted. Work on interpersonal skills.",
IF(AF110&gt;=4,
"Outstanding Behavior Skills. ",
IF(AF110&gt;=2,
"Good Behavior Skills. ",
"Needs improvement in Behavior Skills. "))) &amp;
IF(AG110=0,
"Role Fitment not attempted. Assess your fit for the role.",
IF(AG110&gt;=4,
"Outstanding Role Fitment. ",
IF(AG110&gt;=2,
"Good Role Fitment. ",
"Needs improvement in Role Fitment. "))))</f>
        <v>HR Round not attempted. It's essential to participate in all assessments.</v>
      </c>
      <c r="AL110" s="65">
        <f>SUM(J110,R110,Z110,AH110)</f>
        <v>0</v>
      </c>
      <c r="AM110" s="57">
        <v>0</v>
      </c>
      <c r="AN110" s="70">
        <v>150</v>
      </c>
      <c r="AO110" s="64" t="s">
        <v>259</v>
      </c>
      <c r="AP110" s="52" t="str">
        <f>IF(AND(J110=0,R110=0,Z110=0,AH110=0),
"No participation in any assessment. Please ensure participation in future evaluations.",
IF(J110=0,
"Online Assessment not attempted. Focus on improving basic skills.",
IF(J110&gt;=67.5,
"Outstanding performance in Online Assessment. ",
IF(J110&gt;=45,
"Good performance in Online Assessment. ",
"Needs improvement in Online Assessment. "))) &amp;
IF(R110=0,
"Personal Interview not attempted. Active engagement is essential.",
IF(R110&gt;=16,
"Outstanding performance in Personal Interview. ",
IF(R110&gt;=10,
"Good performance in Personal Interview. ",
"Needs improvement in Personal Interview. "))) &amp;
IF(Z110=0,
"GD Round not attempted. Active participation is crucial.",
IF(Z110&gt;=16,
"Outstanding performance in GD Round. ",
IF(Z110&gt;=10,
"Good performance in GD Round. ",
"Needs improvement in GD Round. "))) &amp;
IF(AH110=0,
"HR Round not attempted. Engage in the assessment process.",
IF(AH110&gt;=16,
"Outstanding performance in HR Round. ",
IF(AH110&gt;=10,
"Good performance in HR Round. ",
"Needs improvement in HR Round."))))</f>
        <v>No participation in any assessment. Please ensure participation in future evaluations.</v>
      </c>
    </row>
    <row r="111" spans="1:42" ht="15.75" customHeight="1">
      <c r="A111">
        <v>108</v>
      </c>
      <c r="B111" s="39" t="s">
        <v>231</v>
      </c>
      <c r="C111" s="40" t="s">
        <v>232</v>
      </c>
      <c r="D111" s="40">
        <v>9050857799</v>
      </c>
      <c r="E111" s="7" t="s">
        <v>253</v>
      </c>
      <c r="F111" s="7"/>
      <c r="G111" s="7"/>
      <c r="H111" s="7">
        <v>0</v>
      </c>
      <c r="I111" s="7">
        <v>0</v>
      </c>
      <c r="J111" s="28">
        <f>SUM(H111:I111)</f>
        <v>0</v>
      </c>
      <c r="K111" s="56" t="s">
        <v>259</v>
      </c>
      <c r="L111" s="28">
        <v>90</v>
      </c>
      <c r="M111" s="28" t="str">
        <f>IF(H111=0,
"Aptitude section not attempted. ",
IF(H111&gt;=33.75,
"Outstanding performance in Aptitude. ",
IF(H111&gt;=22.5,
"Good performance in Aptitude. ",
"Needs improvement in Aptitude. "))) &amp;
IF(I111=0,
" General MBA Questions section not attempted. ",
IF(I111&gt;=33.75,
" Outstanding performance in General MBA Questions. ",
IF(I111&gt;=22.5,
" Good performance in General MBA Questions. ",
" Needs improvement in General MBA Questions. ")))</f>
        <v xml:space="preserve">Aptitude section not attempted.  General MBA Questions section not attempted. </v>
      </c>
      <c r="N111" s="11">
        <v>0</v>
      </c>
      <c r="O111" s="11">
        <v>0</v>
      </c>
      <c r="P111" s="11">
        <v>0</v>
      </c>
      <c r="Q111" s="11">
        <v>0</v>
      </c>
      <c r="R111" s="41">
        <f>SUM(N111:Q111)</f>
        <v>0</v>
      </c>
      <c r="S111" s="60" t="s">
        <v>259</v>
      </c>
      <c r="T111" s="41">
        <v>20</v>
      </c>
      <c r="U111" s="45" t="str">
        <f>IF(AND(N111=0,O111=0,P111=0,Q111=0),
"Personal Interview not attempted. Please ensure participation next time.",
IF(N111=0,
"Self Expression not attempted. Focus on articulating thoughts clearly.",
IF(N111&gt;=4,
"Outstanding Self Expression. ",
IF(N111&gt;=2,
"Good Self Expression. ",
"Needs improvement in Self Expression. "))) &amp;
IF(O111=0,
"Domain Knowledge not attempted. Focus on relevant topics.",
IF(O111&gt;=4,
"Outstanding performance in Domain Knowledge. ",
IF(O111&gt;=2,
"Good performance in Domain Knowledge. ",
"Needs improvement in Domain Knowledge. "))) &amp;
IF(P111=0,
"Thought Process not attempted. Work on organizing your thoughts.",
IF(P111&gt;=4,
"Outstanding Thought Process. ",
IF(P111&gt;=2,
"Good Thought Process. ",
"Needs improvement in Thought Process. "))) &amp;
IF(Q111=0,
"Problem Solving Skills not attempted. Focus on practice.",
IF(Q111&gt;=4,
"Outstanding Problem Solving Skills. ",
IF(Q111&gt;=2,
"Good Problem Solving Skills. ",
"Needs improvement in Problem Solving Skills. "))))</f>
        <v>Personal Interview not attempted. Please ensure participation next time.</v>
      </c>
      <c r="V111" s="43">
        <v>0</v>
      </c>
      <c r="W111" s="11">
        <v>0</v>
      </c>
      <c r="X111" s="3">
        <v>0</v>
      </c>
      <c r="Y111">
        <v>0</v>
      </c>
      <c r="Z111" s="3">
        <f>SUM(V111:Y111)</f>
        <v>0</v>
      </c>
      <c r="AA111" s="64" t="s">
        <v>259</v>
      </c>
      <c r="AB111" s="69">
        <v>20</v>
      </c>
      <c r="AC111" s="7" t="str">
        <f>IF(AND(V111=0,W111=0,X111=0,Y111=0),
"GD Round not attempted. Active participation is crucial.",
IF(V111=0,
"Participation not attempted. Engage more in discussions.",
IF(V111&gt;=4,
"Outstanding Participation. ",
IF(V111&gt;=2,
"Good Participation. ",
"Needs improvement in Participation. "))) &amp;
IF(W111=0,
"Communication not attempted. Focus on expressing ideas clearly.",
IF(W111&gt;=4,
"Outstanding Communication. ",
IF(W111&gt;=2,
"Good Communication. ",
"Needs improvement in Communication. "))) &amp;
IF(X111=0,
"Presence of Mind not attempted. Work on staying alert during discussions.",
IF(X111&gt;=4,
"Outstanding Presence of Mind. ",
IF(X111&gt;=2,
"Good Presence of Mind. ",
"Needs improvement in Presence of Mind. "))) &amp;
IF(Y111=0,
"Presentation not attempted. Enhance your presentation skills.",
IF(Y111&gt;=4,
"Outstanding Presentation. ",
IF(Y111&gt;=2,
"Good Presentation. ",
"Needs improvement in Presentation. "))))</f>
        <v>GD Round not attempted. Active participation is crucial.</v>
      </c>
      <c r="AD111" s="88">
        <v>0</v>
      </c>
      <c r="AE111" s="88">
        <v>0</v>
      </c>
      <c r="AF111" s="3">
        <v>0</v>
      </c>
      <c r="AG111" s="87">
        <v>0</v>
      </c>
      <c r="AH111" s="19">
        <f>SUM(AD111:AG111)</f>
        <v>0</v>
      </c>
      <c r="AI111" s="73" t="s">
        <v>259</v>
      </c>
      <c r="AJ111" s="76">
        <v>20</v>
      </c>
      <c r="AK111" s="45" t="str">
        <f>IF(AND(AD111=0,AE111=0,AF111=0,AG111=0),
"HR Round not attempted. It's essential to participate in all assessments.",
IF(AD111=0,
"Values not attempted. Reflect on your core values.",
IF(AD111&gt;=4,
"Outstanding understanding of Values. ",
IF(AD111&gt;=2,
"Good understanding of Values. ",
"Needs improvement in understanding Values. "))) &amp;
IF(AE111=0,
"Career Goal not attempted. Define your career objectives clearly.",
IF(AE111&gt;=4,
"Outstanding clarity in Career Goals. ",
IF(AE111&gt;=2,
"Good clarity in Career Goals. ",
"Needs improvement in defining Career Goals. "))) &amp;
IF(AF111=0,
"Behavior Skills not attempted. Work on interpersonal skills.",
IF(AF111&gt;=4,
"Outstanding Behavior Skills. ",
IF(AF111&gt;=2,
"Good Behavior Skills. ",
"Needs improvement in Behavior Skills. "))) &amp;
IF(AG111=0,
"Role Fitment not attempted. Assess your fit for the role.",
IF(AG111&gt;=4,
"Outstanding Role Fitment. ",
IF(AG111&gt;=2,
"Good Role Fitment. ",
"Needs improvement in Role Fitment. "))))</f>
        <v>HR Round not attempted. It's essential to participate in all assessments.</v>
      </c>
      <c r="AL111" s="65">
        <f>SUM(J111,R111,Z111,AH111)</f>
        <v>0</v>
      </c>
      <c r="AM111" s="57">
        <v>0</v>
      </c>
      <c r="AN111" s="70">
        <v>150</v>
      </c>
      <c r="AO111" s="64" t="s">
        <v>259</v>
      </c>
      <c r="AP111" s="52" t="str">
        <f>IF(AND(J111=0,R111=0,Z111=0,AH111=0),
"No participation in any assessment. Please ensure participation in future evaluations.",
IF(J111=0,
"Online Assessment not attempted. Focus on improving basic skills.",
IF(J111&gt;=67.5,
"Outstanding performance in Online Assessment. ",
IF(J111&gt;=45,
"Good performance in Online Assessment. ",
"Needs improvement in Online Assessment. "))) &amp;
IF(R111=0,
"Personal Interview not attempted. Active engagement is essential.",
IF(R111&gt;=16,
"Outstanding performance in Personal Interview. ",
IF(R111&gt;=10,
"Good performance in Personal Interview. ",
"Needs improvement in Personal Interview. "))) &amp;
IF(Z111=0,
"GD Round not attempted. Active participation is crucial.",
IF(Z111&gt;=16,
"Outstanding performance in GD Round. ",
IF(Z111&gt;=10,
"Good performance in GD Round. ",
"Needs improvement in GD Round. "))) &amp;
IF(AH111=0,
"HR Round not attempted. Engage in the assessment process.",
IF(AH111&gt;=16,
"Outstanding performance in HR Round. ",
IF(AH111&gt;=10,
"Good performance in HR Round. ",
"Needs improvement in HR Round."))))</f>
        <v>No participation in any assessment. Please ensure participation in future evaluations.</v>
      </c>
    </row>
    <row r="112" spans="1:42" ht="15.75" customHeight="1">
      <c r="A112">
        <v>109</v>
      </c>
      <c r="B112" s="39" t="s">
        <v>213</v>
      </c>
      <c r="C112" s="40" t="s">
        <v>214</v>
      </c>
      <c r="D112" s="40">
        <v>8708351735</v>
      </c>
      <c r="E112" s="7" t="s">
        <v>253</v>
      </c>
      <c r="F112" s="7"/>
      <c r="G112" s="7"/>
      <c r="H112" s="7">
        <v>0</v>
      </c>
      <c r="I112" s="7">
        <v>0</v>
      </c>
      <c r="J112" s="28">
        <f>SUM(H112:I112)</f>
        <v>0</v>
      </c>
      <c r="K112" s="56" t="s">
        <v>259</v>
      </c>
      <c r="L112" s="28">
        <v>90</v>
      </c>
      <c r="M112" s="28" t="str">
        <f>IF(H112=0,
"Aptitude section not attempted. ",
IF(H112&gt;=33.75,
"Outstanding performance in Aptitude. ",
IF(H112&gt;=22.5,
"Good performance in Aptitude. ",
"Needs improvement in Aptitude. "))) &amp;
IF(I112=0,
" General MBA Questions section not attempted. ",
IF(I112&gt;=33.75,
" Outstanding performance in General MBA Questions. ",
IF(I112&gt;=22.5,
" Good performance in General MBA Questions. ",
" Needs improvement in General MBA Questions. ")))</f>
        <v xml:space="preserve">Aptitude section not attempted.  General MBA Questions section not attempted. </v>
      </c>
      <c r="N112" s="11">
        <v>0</v>
      </c>
      <c r="O112" s="11">
        <v>0</v>
      </c>
      <c r="P112" s="11">
        <v>0</v>
      </c>
      <c r="Q112" s="11">
        <v>0</v>
      </c>
      <c r="R112" s="41">
        <f>SUM(N112:Q112)</f>
        <v>0</v>
      </c>
      <c r="S112" s="60" t="s">
        <v>259</v>
      </c>
      <c r="T112" s="41">
        <v>20</v>
      </c>
      <c r="U112" s="45" t="str">
        <f>IF(AND(N112=0,O112=0,P112=0,Q112=0),
"Personal Interview not attempted. Please ensure participation next time.",
IF(N112=0,
"Self Expression not attempted. Focus on articulating thoughts clearly.",
IF(N112&gt;=4,
"Outstanding Self Expression. ",
IF(N112&gt;=2,
"Good Self Expression. ",
"Needs improvement in Self Expression. "))) &amp;
IF(O112=0,
"Domain Knowledge not attempted. Focus on relevant topics.",
IF(O112&gt;=4,
"Outstanding performance in Domain Knowledge. ",
IF(O112&gt;=2,
"Good performance in Domain Knowledge. ",
"Needs improvement in Domain Knowledge. "))) &amp;
IF(P112=0,
"Thought Process not attempted. Work on organizing your thoughts.",
IF(P112&gt;=4,
"Outstanding Thought Process. ",
IF(P112&gt;=2,
"Good Thought Process. ",
"Needs improvement in Thought Process. "))) &amp;
IF(Q112=0,
"Problem Solving Skills not attempted. Focus on practice.",
IF(Q112&gt;=4,
"Outstanding Problem Solving Skills. ",
IF(Q112&gt;=2,
"Good Problem Solving Skills. ",
"Needs improvement in Problem Solving Skills. "))))</f>
        <v>Personal Interview not attempted. Please ensure participation next time.</v>
      </c>
      <c r="V112" s="43">
        <v>0</v>
      </c>
      <c r="W112" s="11">
        <v>0</v>
      </c>
      <c r="X112" s="3">
        <v>0</v>
      </c>
      <c r="Y112" s="26">
        <v>0</v>
      </c>
      <c r="Z112" s="3">
        <f>SUM(V112:Y112)</f>
        <v>0</v>
      </c>
      <c r="AA112" s="64" t="s">
        <v>259</v>
      </c>
      <c r="AB112" s="69">
        <v>20</v>
      </c>
      <c r="AC112" s="7" t="str">
        <f>IF(AND(V112=0,W112=0,X112=0,Y112=0),
"GD Round not attempted. Active participation is crucial.",
IF(V112=0,
"Participation not attempted. Engage more in discussions.",
IF(V112&gt;=4,
"Outstanding Participation. ",
IF(V112&gt;=2,
"Good Participation. ",
"Needs improvement in Participation. "))) &amp;
IF(W112=0,
"Communication not attempted. Focus on expressing ideas clearly.",
IF(W112&gt;=4,
"Outstanding Communication. ",
IF(W112&gt;=2,
"Good Communication. ",
"Needs improvement in Communication. "))) &amp;
IF(X112=0,
"Presence of Mind not attempted. Work on staying alert during discussions.",
IF(X112&gt;=4,
"Outstanding Presence of Mind. ",
IF(X112&gt;=2,
"Good Presence of Mind. ",
"Needs improvement in Presence of Mind. "))) &amp;
IF(Y112=0,
"Presentation not attempted. Enhance your presentation skills.",
IF(Y112&gt;=4,
"Outstanding Presentation. ",
IF(Y112&gt;=2,
"Good Presentation. ",
"Needs improvement in Presentation. "))))</f>
        <v>GD Round not attempted. Active participation is crucial.</v>
      </c>
      <c r="AD112" s="43">
        <v>0</v>
      </c>
      <c r="AE112" s="11">
        <v>0</v>
      </c>
      <c r="AF112" s="90">
        <v>0</v>
      </c>
      <c r="AG112" s="26">
        <v>0</v>
      </c>
      <c r="AH112" s="19">
        <f>SUM(AD112:AG112)</f>
        <v>0</v>
      </c>
      <c r="AI112" s="73" t="s">
        <v>259</v>
      </c>
      <c r="AJ112" s="76">
        <v>20</v>
      </c>
      <c r="AK112" s="45" t="str">
        <f>IF(AND(AD112=0,AE112=0,AF112=0,AG112=0),
"HR Round not attempted. It's essential to participate in all assessments.",
IF(AD112=0,
"Values not attempted. Reflect on your core values.",
IF(AD112&gt;=4,
"Outstanding understanding of Values. ",
IF(AD112&gt;=2,
"Good understanding of Values. ",
"Needs improvement in understanding Values. "))) &amp;
IF(AE112=0,
"Career Goal not attempted. Define your career objectives clearly.",
IF(AE112&gt;=4,
"Outstanding clarity in Career Goals. ",
IF(AE112&gt;=2,
"Good clarity in Career Goals. ",
"Needs improvement in defining Career Goals. "))) &amp;
IF(AF112=0,
"Behavior Skills not attempted. Work on interpersonal skills.",
IF(AF112&gt;=4,
"Outstanding Behavior Skills. ",
IF(AF112&gt;=2,
"Good Behavior Skills. ",
"Needs improvement in Behavior Skills. "))) &amp;
IF(AG112=0,
"Role Fitment not attempted. Assess your fit for the role.",
IF(AG112&gt;=4,
"Outstanding Role Fitment. ",
IF(AG112&gt;=2,
"Good Role Fitment. ",
"Needs improvement in Role Fitment. "))))</f>
        <v>HR Round not attempted. It's essential to participate in all assessments.</v>
      </c>
      <c r="AL112" s="65">
        <f>SUM(J112,R112,Z112,AH112)</f>
        <v>0</v>
      </c>
      <c r="AM112" s="57">
        <v>0</v>
      </c>
      <c r="AN112" s="70">
        <v>150</v>
      </c>
      <c r="AO112" s="64" t="s">
        <v>259</v>
      </c>
      <c r="AP112" s="52" t="str">
        <f>IF(AND(J112=0,R112=0,Z112=0,AH112=0),
"No participation in any assessment. Please ensure participation in future evaluations.",
IF(J112=0,
"Online Assessment not attempted. Focus on improving basic skills.",
IF(J112&gt;=67.5,
"Outstanding performance in Online Assessment. ",
IF(J112&gt;=45,
"Good performance in Online Assessment. ",
"Needs improvement in Online Assessment. "))) &amp;
IF(R112=0,
"Personal Interview not attempted. Active engagement is essential.",
IF(R112&gt;=16,
"Outstanding performance in Personal Interview. ",
IF(R112&gt;=10,
"Good performance in Personal Interview. ",
"Needs improvement in Personal Interview. "))) &amp;
IF(Z112=0,
"GD Round not attempted. Active participation is crucial.",
IF(Z112&gt;=16,
"Outstanding performance in GD Round. ",
IF(Z112&gt;=10,
"Good performance in GD Round. ",
"Needs improvement in GD Round. "))) &amp;
IF(AH112=0,
"HR Round not attempted. Engage in the assessment process.",
IF(AH112&gt;=16,
"Outstanding performance in HR Round. ",
IF(AH112&gt;=10,
"Good performance in HR Round. ",
"Needs improvement in HR Round."))))</f>
        <v>No participation in any assessment. Please ensure participation in future evaluations.</v>
      </c>
    </row>
    <row r="113" spans="1:42" ht="15.75" customHeight="1">
      <c r="A113">
        <v>110</v>
      </c>
      <c r="B113" s="39" t="s">
        <v>128</v>
      </c>
      <c r="C113" s="40" t="s">
        <v>129</v>
      </c>
      <c r="D113" s="40">
        <v>8360759882</v>
      </c>
      <c r="E113" s="7" t="s">
        <v>253</v>
      </c>
      <c r="F113" s="4"/>
      <c r="G113" s="4"/>
      <c r="H113" s="7">
        <v>0</v>
      </c>
      <c r="I113" s="7">
        <v>0</v>
      </c>
      <c r="J113" s="28">
        <f>SUM(H113:I113)</f>
        <v>0</v>
      </c>
      <c r="K113" s="56" t="s">
        <v>259</v>
      </c>
      <c r="L113" s="28">
        <v>90</v>
      </c>
      <c r="M113" s="28" t="str">
        <f>IF(H113=0,
"Aptitude section not attempted. ",
IF(H113&gt;=33.75,
"Outstanding performance in Aptitude. ",
IF(H113&gt;=22.5,
"Good performance in Aptitude. ",
"Needs improvement in Aptitude. "))) &amp;
IF(I113=0,
" General MBA Questions section not attempted. ",
IF(I113&gt;=33.75,
" Outstanding performance in General MBA Questions. ",
IF(I113&gt;=22.5,
" Good performance in General MBA Questions. ",
" Needs improvement in General MBA Questions. ")))</f>
        <v xml:space="preserve">Aptitude section not attempted.  General MBA Questions section not attempted. </v>
      </c>
      <c r="N113" s="11">
        <v>0</v>
      </c>
      <c r="O113" s="11">
        <v>0</v>
      </c>
      <c r="P113" s="11">
        <v>0</v>
      </c>
      <c r="Q113" s="11">
        <v>0</v>
      </c>
      <c r="R113" s="41">
        <f>SUM(N113:Q113)</f>
        <v>0</v>
      </c>
      <c r="S113" s="60" t="s">
        <v>259</v>
      </c>
      <c r="T113" s="41">
        <v>20</v>
      </c>
      <c r="U113" s="45" t="str">
        <f>IF(AND(N113=0,O113=0,P113=0,Q113=0),
"Personal Interview not attempted. Please ensure participation next time.",
IF(N113=0,
"Self Expression not attempted. Focus on articulating thoughts clearly.",
IF(N113&gt;=4,
"Outstanding Self Expression. ",
IF(N113&gt;=2,
"Good Self Expression. ",
"Needs improvement in Self Expression. "))) &amp;
IF(O113=0,
"Domain Knowledge not attempted. Focus on relevant topics.",
IF(O113&gt;=4,
"Outstanding performance in Domain Knowledge. ",
IF(O113&gt;=2,
"Good performance in Domain Knowledge. ",
"Needs improvement in Domain Knowledge. "))) &amp;
IF(P113=0,
"Thought Process not attempted. Work on organizing your thoughts.",
IF(P113&gt;=4,
"Outstanding Thought Process. ",
IF(P113&gt;=2,
"Good Thought Process. ",
"Needs improvement in Thought Process. "))) &amp;
IF(Q113=0,
"Problem Solving Skills not attempted. Focus on practice.",
IF(Q113&gt;=4,
"Outstanding Problem Solving Skills. ",
IF(Q113&gt;=2,
"Good Problem Solving Skills. ",
"Needs improvement in Problem Solving Skills. "))))</f>
        <v>Personal Interview not attempted. Please ensure participation next time.</v>
      </c>
      <c r="V113" s="43">
        <v>0</v>
      </c>
      <c r="W113" s="11">
        <v>0</v>
      </c>
      <c r="X113" s="3">
        <v>0</v>
      </c>
      <c r="Y113" s="87">
        <v>0</v>
      </c>
      <c r="Z113" s="3">
        <f>SUM(V113:Y113)</f>
        <v>0</v>
      </c>
      <c r="AA113" s="64" t="s">
        <v>259</v>
      </c>
      <c r="AB113" s="69">
        <v>20</v>
      </c>
      <c r="AC113" s="7" t="str">
        <f>IF(AND(V113=0,W113=0,X113=0,Y113=0),
"GD Round not attempted. Active participation is crucial.",
IF(V113=0,
"Participation not attempted. Engage more in discussions.",
IF(V113&gt;=4,
"Outstanding Participation. ",
IF(V113&gt;=2,
"Good Participation. ",
"Needs improvement in Participation. "))) &amp;
IF(W113=0,
"Communication not attempted. Focus on expressing ideas clearly.",
IF(W113&gt;=4,
"Outstanding Communication. ",
IF(W113&gt;=2,
"Good Communication. ",
"Needs improvement in Communication. "))) &amp;
IF(X113=0,
"Presence of Mind not attempted. Work on staying alert during discussions.",
IF(X113&gt;=4,
"Outstanding Presence of Mind. ",
IF(X113&gt;=2,
"Good Presence of Mind. ",
"Needs improvement in Presence of Mind. "))) &amp;
IF(Y113=0,
"Presentation not attempted. Enhance your presentation skills.",
IF(Y113&gt;=4,
"Outstanding Presentation. ",
IF(Y113&gt;=2,
"Good Presentation. ",
"Needs improvement in Presentation. "))))</f>
        <v>GD Round not attempted. Active participation is crucial.</v>
      </c>
      <c r="AD113" s="88">
        <v>0</v>
      </c>
      <c r="AE113" s="88">
        <v>0</v>
      </c>
      <c r="AF113" s="90">
        <v>0</v>
      </c>
      <c r="AG113" s="87">
        <v>0</v>
      </c>
      <c r="AH113" s="19">
        <f>SUM(AD113:AG113)</f>
        <v>0</v>
      </c>
      <c r="AI113" s="73" t="s">
        <v>259</v>
      </c>
      <c r="AJ113" s="76">
        <v>20</v>
      </c>
      <c r="AK113" s="45" t="str">
        <f>IF(AND(AD113=0,AE113=0,AF113=0,AG113=0),
"HR Round not attempted. It's essential to participate in all assessments.",
IF(AD113=0,
"Values not attempted. Reflect on your core values.",
IF(AD113&gt;=4,
"Outstanding understanding of Values. ",
IF(AD113&gt;=2,
"Good understanding of Values. ",
"Needs improvement in understanding Values. "))) &amp;
IF(AE113=0,
"Career Goal not attempted. Define your career objectives clearly.",
IF(AE113&gt;=4,
"Outstanding clarity in Career Goals. ",
IF(AE113&gt;=2,
"Good clarity in Career Goals. ",
"Needs improvement in defining Career Goals. "))) &amp;
IF(AF113=0,
"Behavior Skills not attempted. Work on interpersonal skills.",
IF(AF113&gt;=4,
"Outstanding Behavior Skills. ",
IF(AF113&gt;=2,
"Good Behavior Skills. ",
"Needs improvement in Behavior Skills. "))) &amp;
IF(AG113=0,
"Role Fitment not attempted. Assess your fit for the role.",
IF(AG113&gt;=4,
"Outstanding Role Fitment. ",
IF(AG113&gt;=2,
"Good Role Fitment. ",
"Needs improvement in Role Fitment. "))))</f>
        <v>HR Round not attempted. It's essential to participate in all assessments.</v>
      </c>
      <c r="AL113" s="65">
        <f>SUM(J113,R113,Z113,AH113)</f>
        <v>0</v>
      </c>
      <c r="AM113" s="57">
        <v>0</v>
      </c>
      <c r="AN113" s="70">
        <v>150</v>
      </c>
      <c r="AO113" s="64" t="s">
        <v>259</v>
      </c>
      <c r="AP113" s="52" t="str">
        <f>IF(AND(J113=0,R113=0,Z113=0,AH113=0),
"No participation in any assessment. Please ensure participation in future evaluations.",
IF(J113=0,
"Online Assessment not attempted. Focus on improving basic skills.",
IF(J113&gt;=67.5,
"Outstanding performance in Online Assessment. ",
IF(J113&gt;=45,
"Good performance in Online Assessment. ",
"Needs improvement in Online Assessment. "))) &amp;
IF(R113=0,
"Personal Interview not attempted. Active engagement is essential.",
IF(R113&gt;=16,
"Outstanding performance in Personal Interview. ",
IF(R113&gt;=10,
"Good performance in Personal Interview. ",
"Needs improvement in Personal Interview. "))) &amp;
IF(Z113=0,
"GD Round not attempted. Active participation is crucial.",
IF(Z113&gt;=16,
"Outstanding performance in GD Round. ",
IF(Z113&gt;=10,
"Good performance in GD Round. ",
"Needs improvement in GD Round. "))) &amp;
IF(AH113=0,
"HR Round not attempted. Engage in the assessment process.",
IF(AH113&gt;=16,
"Outstanding performance in HR Round. ",
IF(AH113&gt;=10,
"Good performance in HR Round. ",
"Needs improvement in HR Round."))))</f>
        <v>No participation in any assessment. Please ensure participation in future evaluations.</v>
      </c>
    </row>
    <row r="114" spans="1:42" ht="15.75" customHeight="1">
      <c r="A114">
        <v>111</v>
      </c>
      <c r="B114" s="39" t="s">
        <v>243</v>
      </c>
      <c r="C114" s="40" t="s">
        <v>244</v>
      </c>
      <c r="D114" s="40">
        <v>9816982544</v>
      </c>
      <c r="E114" s="7" t="s">
        <v>253</v>
      </c>
      <c r="F114" s="7"/>
      <c r="G114" s="7"/>
      <c r="H114" s="7">
        <v>0</v>
      </c>
      <c r="I114" s="7">
        <v>0</v>
      </c>
      <c r="J114" s="28">
        <f>SUM(H114:I114)</f>
        <v>0</v>
      </c>
      <c r="K114" s="56" t="s">
        <v>259</v>
      </c>
      <c r="L114" s="28">
        <v>90</v>
      </c>
      <c r="M114" s="28" t="str">
        <f>IF(H114=0,
"Aptitude section not attempted. ",
IF(H114&gt;=33.75,
"Outstanding performance in Aptitude. ",
IF(H114&gt;=22.5,
"Good performance in Aptitude. ",
"Needs improvement in Aptitude. "))) &amp;
IF(I114=0,
" General MBA Questions section not attempted. ",
IF(I114&gt;=33.75,
" Outstanding performance in General MBA Questions. ",
IF(I114&gt;=22.5,
" Good performance in General MBA Questions. ",
" Needs improvement in General MBA Questions. ")))</f>
        <v xml:space="preserve">Aptitude section not attempted.  General MBA Questions section not attempted. </v>
      </c>
      <c r="N114" s="11">
        <v>0</v>
      </c>
      <c r="O114" s="11">
        <v>0</v>
      </c>
      <c r="P114" s="11">
        <v>0</v>
      </c>
      <c r="Q114" s="11">
        <v>0</v>
      </c>
      <c r="R114" s="41">
        <f>SUM(N114:Q114)</f>
        <v>0</v>
      </c>
      <c r="S114" s="60" t="s">
        <v>259</v>
      </c>
      <c r="T114" s="41">
        <v>20</v>
      </c>
      <c r="U114" s="45" t="str">
        <f>IF(AND(N114=0,O114=0,P114=0,Q114=0),
"Personal Interview not attempted. Please ensure participation next time.",
IF(N114=0,
"Self Expression not attempted. Focus on articulating thoughts clearly.",
IF(N114&gt;=4,
"Outstanding Self Expression. ",
IF(N114&gt;=2,
"Good Self Expression. ",
"Needs improvement in Self Expression. "))) &amp;
IF(O114=0,
"Domain Knowledge not attempted. Focus on relevant topics.",
IF(O114&gt;=4,
"Outstanding performance in Domain Knowledge. ",
IF(O114&gt;=2,
"Good performance in Domain Knowledge. ",
"Needs improvement in Domain Knowledge. "))) &amp;
IF(P114=0,
"Thought Process not attempted. Work on organizing your thoughts.",
IF(P114&gt;=4,
"Outstanding Thought Process. ",
IF(P114&gt;=2,
"Good Thought Process. ",
"Needs improvement in Thought Process. "))) &amp;
IF(Q114=0,
"Problem Solving Skills not attempted. Focus on practice.",
IF(Q114&gt;=4,
"Outstanding Problem Solving Skills. ",
IF(Q114&gt;=2,
"Good Problem Solving Skills. ",
"Needs improvement in Problem Solving Skills. "))))</f>
        <v>Personal Interview not attempted. Please ensure participation next time.</v>
      </c>
      <c r="V114" s="43">
        <v>0</v>
      </c>
      <c r="W114" s="11">
        <v>0</v>
      </c>
      <c r="X114" s="3">
        <v>0</v>
      </c>
      <c r="Y114">
        <v>0</v>
      </c>
      <c r="Z114" s="3">
        <f>SUM(V114:Y114)</f>
        <v>0</v>
      </c>
      <c r="AA114" s="64" t="s">
        <v>259</v>
      </c>
      <c r="AB114" s="69">
        <v>20</v>
      </c>
      <c r="AC114" s="7" t="str">
        <f>IF(AND(V114=0,W114=0,X114=0,Y114=0),
"GD Round not attempted. Active participation is crucial.",
IF(V114=0,
"Participation not attempted. Engage more in discussions.",
IF(V114&gt;=4,
"Outstanding Participation. ",
IF(V114&gt;=2,
"Good Participation. ",
"Needs improvement in Participation. "))) &amp;
IF(W114=0,
"Communication not attempted. Focus on expressing ideas clearly.",
IF(W114&gt;=4,
"Outstanding Communication. ",
IF(W114&gt;=2,
"Good Communication. ",
"Needs improvement in Communication. "))) &amp;
IF(X114=0,
"Presence of Mind not attempted. Work on staying alert during discussions.",
IF(X114&gt;=4,
"Outstanding Presence of Mind. ",
IF(X114&gt;=2,
"Good Presence of Mind. ",
"Needs improvement in Presence of Mind. "))) &amp;
IF(Y114=0,
"Presentation not attempted. Enhance your presentation skills.",
IF(Y114&gt;=4,
"Outstanding Presentation. ",
IF(Y114&gt;=2,
"Good Presentation. ",
"Needs improvement in Presentation. "))))</f>
        <v>GD Round not attempted. Active participation is crucial.</v>
      </c>
      <c r="AD114" s="43">
        <v>0</v>
      </c>
      <c r="AE114" s="11">
        <v>0</v>
      </c>
      <c r="AF114" s="90">
        <v>0</v>
      </c>
      <c r="AG114" s="26">
        <v>0</v>
      </c>
      <c r="AH114" s="19">
        <f>SUM(AD114:AG114)</f>
        <v>0</v>
      </c>
      <c r="AI114" s="73" t="s">
        <v>259</v>
      </c>
      <c r="AJ114" s="76">
        <v>20</v>
      </c>
      <c r="AK114" s="45" t="str">
        <f>IF(AND(AD114=0,AE114=0,AF114=0,AG114=0),
"HR Round not attempted. It's essential to participate in all assessments.",
IF(AD114=0,
"Values not attempted. Reflect on your core values.",
IF(AD114&gt;=4,
"Outstanding understanding of Values. ",
IF(AD114&gt;=2,
"Good understanding of Values. ",
"Needs improvement in understanding Values. "))) &amp;
IF(AE114=0,
"Career Goal not attempted. Define your career objectives clearly.",
IF(AE114&gt;=4,
"Outstanding clarity in Career Goals. ",
IF(AE114&gt;=2,
"Good clarity in Career Goals. ",
"Needs improvement in defining Career Goals. "))) &amp;
IF(AF114=0,
"Behavior Skills not attempted. Work on interpersonal skills.",
IF(AF114&gt;=4,
"Outstanding Behavior Skills. ",
IF(AF114&gt;=2,
"Good Behavior Skills. ",
"Needs improvement in Behavior Skills. "))) &amp;
IF(AG114=0,
"Role Fitment not attempted. Assess your fit for the role.",
IF(AG114&gt;=4,
"Outstanding Role Fitment. ",
IF(AG114&gt;=2,
"Good Role Fitment. ",
"Needs improvement in Role Fitment. "))))</f>
        <v>HR Round not attempted. It's essential to participate in all assessments.</v>
      </c>
      <c r="AL114" s="65">
        <f>SUM(J114,R114,Z114,AH114)</f>
        <v>0</v>
      </c>
      <c r="AM114" s="57">
        <v>0</v>
      </c>
      <c r="AN114" s="70">
        <v>150</v>
      </c>
      <c r="AO114" s="64" t="s">
        <v>259</v>
      </c>
      <c r="AP114" s="52" t="str">
        <f>IF(AND(J114=0,R114=0,Z114=0,AH114=0),
"No participation in any assessment. Please ensure participation in future evaluations.",
IF(J114=0,
"Online Assessment not attempted. Focus on improving basic skills.",
IF(J114&gt;=67.5,
"Outstanding performance in Online Assessment. ",
IF(J114&gt;=45,
"Good performance in Online Assessment. ",
"Needs improvement in Online Assessment. "))) &amp;
IF(R114=0,
"Personal Interview not attempted. Active engagement is essential.",
IF(R114&gt;=16,
"Outstanding performance in Personal Interview. ",
IF(R114&gt;=10,
"Good performance in Personal Interview. ",
"Needs improvement in Personal Interview. "))) &amp;
IF(Z114=0,
"GD Round not attempted. Active participation is crucial.",
IF(Z114&gt;=16,
"Outstanding performance in GD Round. ",
IF(Z114&gt;=10,
"Good performance in GD Round. ",
"Needs improvement in GD Round. "))) &amp;
IF(AH114=0,
"HR Round not attempted. Engage in the assessment process.",
IF(AH114&gt;=16,
"Outstanding performance in HR Round. ",
IF(AH114&gt;=10,
"Good performance in HR Round. ",
"Needs improvement in HR Round."))))</f>
        <v>No participation in any assessment. Please ensure participation in future evaluations.</v>
      </c>
    </row>
    <row r="115" spans="1:42" ht="15.75" customHeight="1">
      <c r="A115">
        <v>112</v>
      </c>
      <c r="B115" s="39" t="s">
        <v>201</v>
      </c>
      <c r="C115" s="40" t="s">
        <v>202</v>
      </c>
      <c r="D115" s="40">
        <v>7419180020</v>
      </c>
      <c r="E115" s="7" t="s">
        <v>253</v>
      </c>
      <c r="F115" s="7"/>
      <c r="G115" s="7"/>
      <c r="H115" s="7">
        <v>0</v>
      </c>
      <c r="I115" s="7">
        <v>0</v>
      </c>
      <c r="J115" s="28">
        <f>SUM(H115:I115)</f>
        <v>0</v>
      </c>
      <c r="K115" s="56" t="s">
        <v>259</v>
      </c>
      <c r="L115" s="28">
        <v>90</v>
      </c>
      <c r="M115" s="28" t="str">
        <f>IF(H115=0,
"Aptitude section not attempted. ",
IF(H115&gt;=33.75,
"Outstanding performance in Aptitude. ",
IF(H115&gt;=22.5,
"Good performance in Aptitude. ",
"Needs improvement in Aptitude. "))) &amp;
IF(I115=0,
" General MBA Questions section not attempted. ",
IF(I115&gt;=33.75,
" Outstanding performance in General MBA Questions. ",
IF(I115&gt;=22.5,
" Good performance in General MBA Questions. ",
" Needs improvement in General MBA Questions. ")))</f>
        <v xml:space="preserve">Aptitude section not attempted.  General MBA Questions section not attempted. </v>
      </c>
      <c r="N115" s="11">
        <v>0</v>
      </c>
      <c r="O115" s="11">
        <v>0</v>
      </c>
      <c r="P115" s="11">
        <v>0</v>
      </c>
      <c r="Q115" s="11">
        <v>0</v>
      </c>
      <c r="R115" s="41">
        <f>SUM(N115:Q115)</f>
        <v>0</v>
      </c>
      <c r="S115" s="60" t="s">
        <v>259</v>
      </c>
      <c r="T115" s="41">
        <v>20</v>
      </c>
      <c r="U115" s="45" t="str">
        <f>IF(AND(N115=0,O115=0,P115=0,Q115=0),
"Personal Interview not attempted. Please ensure participation next time.",
IF(N115=0,
"Self Expression not attempted. Focus on articulating thoughts clearly.",
IF(N115&gt;=4,
"Outstanding Self Expression. ",
IF(N115&gt;=2,
"Good Self Expression. ",
"Needs improvement in Self Expression. "))) &amp;
IF(O115=0,
"Domain Knowledge not attempted. Focus on relevant topics.",
IF(O115&gt;=4,
"Outstanding performance in Domain Knowledge. ",
IF(O115&gt;=2,
"Good performance in Domain Knowledge. ",
"Needs improvement in Domain Knowledge. "))) &amp;
IF(P115=0,
"Thought Process not attempted. Work on organizing your thoughts.",
IF(P115&gt;=4,
"Outstanding Thought Process. ",
IF(P115&gt;=2,
"Good Thought Process. ",
"Needs improvement in Thought Process. "))) &amp;
IF(Q115=0,
"Problem Solving Skills not attempted. Focus on practice.",
IF(Q115&gt;=4,
"Outstanding Problem Solving Skills. ",
IF(Q115&gt;=2,
"Good Problem Solving Skills. ",
"Needs improvement in Problem Solving Skills. "))))</f>
        <v>Personal Interview not attempted. Please ensure participation next time.</v>
      </c>
      <c r="V115" s="43">
        <v>0</v>
      </c>
      <c r="W115" s="11">
        <v>0</v>
      </c>
      <c r="X115" s="3">
        <v>0</v>
      </c>
      <c r="Y115" s="87">
        <v>0</v>
      </c>
      <c r="Z115" s="3">
        <f>SUM(V115:Y115)</f>
        <v>0</v>
      </c>
      <c r="AA115" s="64" t="s">
        <v>259</v>
      </c>
      <c r="AB115" s="69">
        <v>20</v>
      </c>
      <c r="AC115" s="7" t="str">
        <f>IF(AND(V115=0,W115=0,X115=0,Y115=0),
"GD Round not attempted. Active participation is crucial.",
IF(V115=0,
"Participation not attempted. Engage more in discussions.",
IF(V115&gt;=4,
"Outstanding Participation. ",
IF(V115&gt;=2,
"Good Participation. ",
"Needs improvement in Participation. "))) &amp;
IF(W115=0,
"Communication not attempted. Focus on expressing ideas clearly.",
IF(W115&gt;=4,
"Outstanding Communication. ",
IF(W115&gt;=2,
"Good Communication. ",
"Needs improvement in Communication. "))) &amp;
IF(X115=0,
"Presence of Mind not attempted. Work on staying alert during discussions.",
IF(X115&gt;=4,
"Outstanding Presence of Mind. ",
IF(X115&gt;=2,
"Good Presence of Mind. ",
"Needs improvement in Presence of Mind. "))) &amp;
IF(Y115=0,
"Presentation not attempted. Enhance your presentation skills.",
IF(Y115&gt;=4,
"Outstanding Presentation. ",
IF(Y115&gt;=2,
"Good Presentation. ",
"Needs improvement in Presentation. "))))</f>
        <v>GD Round not attempted. Active participation is crucial.</v>
      </c>
      <c r="AD115" s="43">
        <v>0</v>
      </c>
      <c r="AE115" s="11">
        <v>0</v>
      </c>
      <c r="AF115" s="90">
        <v>0</v>
      </c>
      <c r="AG115" s="26">
        <v>0</v>
      </c>
      <c r="AH115" s="19">
        <f>SUM(AD115:AG115)</f>
        <v>0</v>
      </c>
      <c r="AI115" s="73" t="s">
        <v>259</v>
      </c>
      <c r="AJ115" s="76">
        <v>20</v>
      </c>
      <c r="AK115" s="45" t="str">
        <f>IF(AND(AD115=0,AE115=0,AF115=0,AG115=0),
"HR Round not attempted. It's essential to participate in all assessments.",
IF(AD115=0,
"Values not attempted. Reflect on your core values.",
IF(AD115&gt;=4,
"Outstanding understanding of Values. ",
IF(AD115&gt;=2,
"Good understanding of Values. ",
"Needs improvement in understanding Values. "))) &amp;
IF(AE115=0,
"Career Goal not attempted. Define your career objectives clearly.",
IF(AE115&gt;=4,
"Outstanding clarity in Career Goals. ",
IF(AE115&gt;=2,
"Good clarity in Career Goals. ",
"Needs improvement in defining Career Goals. "))) &amp;
IF(AF115=0,
"Behavior Skills not attempted. Work on interpersonal skills.",
IF(AF115&gt;=4,
"Outstanding Behavior Skills. ",
IF(AF115&gt;=2,
"Good Behavior Skills. ",
"Needs improvement in Behavior Skills. "))) &amp;
IF(AG115=0,
"Role Fitment not attempted. Assess your fit for the role.",
IF(AG115&gt;=4,
"Outstanding Role Fitment. ",
IF(AG115&gt;=2,
"Good Role Fitment. ",
"Needs improvement in Role Fitment. "))))</f>
        <v>HR Round not attempted. It's essential to participate in all assessments.</v>
      </c>
      <c r="AL115" s="65">
        <f>SUM(J115,R115,Z115,AH115)</f>
        <v>0</v>
      </c>
      <c r="AM115" s="57">
        <v>0</v>
      </c>
      <c r="AN115" s="70">
        <v>150</v>
      </c>
      <c r="AO115" s="64" t="s">
        <v>259</v>
      </c>
      <c r="AP115" s="52" t="str">
        <f>IF(AND(J115=0,R115=0,Z115=0,AH115=0),
"No participation in any assessment. Please ensure participation in future evaluations.",
IF(J115=0,
"Online Assessment not attempted. Focus on improving basic skills.",
IF(J115&gt;=67.5,
"Outstanding performance in Online Assessment. ",
IF(J115&gt;=45,
"Good performance in Online Assessment. ",
"Needs improvement in Online Assessment. "))) &amp;
IF(R115=0,
"Personal Interview not attempted. Active engagement is essential.",
IF(R115&gt;=16,
"Outstanding performance in Personal Interview. ",
IF(R115&gt;=10,
"Good performance in Personal Interview. ",
"Needs improvement in Personal Interview. "))) &amp;
IF(Z115=0,
"GD Round not attempted. Active participation is crucial.",
IF(Z115&gt;=16,
"Outstanding performance in GD Round. ",
IF(Z115&gt;=10,
"Good performance in GD Round. ",
"Needs improvement in GD Round. "))) &amp;
IF(AH115=0,
"HR Round not attempted. Engage in the assessment process.",
IF(AH115&gt;=16,
"Outstanding performance in HR Round. ",
IF(AH115&gt;=10,
"Good performance in HR Round. ",
"Needs improvement in HR Round."))))</f>
        <v>No participation in any assessment. Please ensure participation in future evaluations.</v>
      </c>
    </row>
    <row r="116" spans="1:42" ht="15.75" customHeight="1">
      <c r="A116">
        <v>113</v>
      </c>
      <c r="B116" s="39" t="s">
        <v>223</v>
      </c>
      <c r="C116" s="40" t="s">
        <v>224</v>
      </c>
      <c r="D116" s="40">
        <v>9812596994</v>
      </c>
      <c r="E116" s="7" t="s">
        <v>253</v>
      </c>
      <c r="F116" s="7"/>
      <c r="G116" s="7"/>
      <c r="H116" s="7">
        <v>0</v>
      </c>
      <c r="I116" s="7">
        <v>0</v>
      </c>
      <c r="J116" s="28">
        <f>SUM(H116:I116)</f>
        <v>0</v>
      </c>
      <c r="K116" s="56" t="s">
        <v>259</v>
      </c>
      <c r="L116" s="28">
        <v>90</v>
      </c>
      <c r="M116" s="28" t="str">
        <f>IF(H116=0,
"Aptitude section not attempted. ",
IF(H116&gt;=33.75,
"Outstanding performance in Aptitude. ",
IF(H116&gt;=22.5,
"Good performance in Aptitude. ",
"Needs improvement in Aptitude. "))) &amp;
IF(I116=0,
" General MBA Questions section not attempted. ",
IF(I116&gt;=33.75,
" Outstanding performance in General MBA Questions. ",
IF(I116&gt;=22.5,
" Good performance in General MBA Questions. ",
" Needs improvement in General MBA Questions. ")))</f>
        <v xml:space="preserve">Aptitude section not attempted.  General MBA Questions section not attempted. </v>
      </c>
      <c r="N116" s="11">
        <v>0</v>
      </c>
      <c r="O116" s="11">
        <v>0</v>
      </c>
      <c r="P116" s="11">
        <v>0</v>
      </c>
      <c r="Q116" s="11">
        <v>0</v>
      </c>
      <c r="R116" s="41">
        <f>SUM(N116:Q116)</f>
        <v>0</v>
      </c>
      <c r="S116" s="60" t="s">
        <v>259</v>
      </c>
      <c r="T116" s="41">
        <v>20</v>
      </c>
      <c r="U116" s="45" t="str">
        <f>IF(AND(N116=0,O116=0,P116=0,Q116=0),
"Personal Interview not attempted. Please ensure participation next time.",
IF(N116=0,
"Self Expression not attempted. Focus on articulating thoughts clearly.",
IF(N116&gt;=4,
"Outstanding Self Expression. ",
IF(N116&gt;=2,
"Good Self Expression. ",
"Needs improvement in Self Expression. "))) &amp;
IF(O116=0,
"Domain Knowledge not attempted. Focus on relevant topics.",
IF(O116&gt;=4,
"Outstanding performance in Domain Knowledge. ",
IF(O116&gt;=2,
"Good performance in Domain Knowledge. ",
"Needs improvement in Domain Knowledge. "))) &amp;
IF(P116=0,
"Thought Process not attempted. Work on organizing your thoughts.",
IF(P116&gt;=4,
"Outstanding Thought Process. ",
IF(P116&gt;=2,
"Good Thought Process. ",
"Needs improvement in Thought Process. "))) &amp;
IF(Q116=0,
"Problem Solving Skills not attempted. Focus on practice.",
IF(Q116&gt;=4,
"Outstanding Problem Solving Skills. ",
IF(Q116&gt;=2,
"Good Problem Solving Skills. ",
"Needs improvement in Problem Solving Skills. "))))</f>
        <v>Personal Interview not attempted. Please ensure participation next time.</v>
      </c>
      <c r="V116" s="43">
        <v>0</v>
      </c>
      <c r="W116" s="11">
        <v>0</v>
      </c>
      <c r="X116" s="3">
        <v>0</v>
      </c>
      <c r="Y116" s="87">
        <v>0</v>
      </c>
      <c r="Z116" s="3">
        <f>SUM(V116:Y116)</f>
        <v>0</v>
      </c>
      <c r="AA116" s="64" t="s">
        <v>259</v>
      </c>
      <c r="AB116" s="69">
        <v>20</v>
      </c>
      <c r="AC116" s="7" t="str">
        <f>IF(AND(V116=0,W116=0,X116=0,Y116=0),
"GD Round not attempted. Active participation is crucial.",
IF(V116=0,
"Participation not attempted. Engage more in discussions.",
IF(V116&gt;=4,
"Outstanding Participation. ",
IF(V116&gt;=2,
"Good Participation. ",
"Needs improvement in Participation. "))) &amp;
IF(W116=0,
"Communication not attempted. Focus on expressing ideas clearly.",
IF(W116&gt;=4,
"Outstanding Communication. ",
IF(W116&gt;=2,
"Good Communication. ",
"Needs improvement in Communication. "))) &amp;
IF(X116=0,
"Presence of Mind not attempted. Work on staying alert during discussions.",
IF(X116&gt;=4,
"Outstanding Presence of Mind. ",
IF(X116&gt;=2,
"Good Presence of Mind. ",
"Needs improvement in Presence of Mind. "))) &amp;
IF(Y116=0,
"Presentation not attempted. Enhance your presentation skills.",
IF(Y116&gt;=4,
"Outstanding Presentation. ",
IF(Y116&gt;=2,
"Good Presentation. ",
"Needs improvement in Presentation. "))))</f>
        <v>GD Round not attempted. Active participation is crucial.</v>
      </c>
      <c r="AD116" s="43">
        <v>0</v>
      </c>
      <c r="AE116" s="11">
        <v>0</v>
      </c>
      <c r="AF116" s="3">
        <v>0</v>
      </c>
      <c r="AG116" s="26">
        <v>0</v>
      </c>
      <c r="AH116" s="19">
        <f>SUM(AD116:AG116)</f>
        <v>0</v>
      </c>
      <c r="AI116" s="73" t="s">
        <v>259</v>
      </c>
      <c r="AJ116" s="76">
        <v>20</v>
      </c>
      <c r="AK116" s="45" t="str">
        <f>IF(AND(AD116=0,AE116=0,AF116=0,AG116=0),
"HR Round not attempted. It's essential to participate in all assessments.",
IF(AD116=0,
"Values not attempted. Reflect on your core values.",
IF(AD116&gt;=4,
"Outstanding understanding of Values. ",
IF(AD116&gt;=2,
"Good understanding of Values. ",
"Needs improvement in understanding Values. "))) &amp;
IF(AE116=0,
"Career Goal not attempted. Define your career objectives clearly.",
IF(AE116&gt;=4,
"Outstanding clarity in Career Goals. ",
IF(AE116&gt;=2,
"Good clarity in Career Goals. ",
"Needs improvement in defining Career Goals. "))) &amp;
IF(AF116=0,
"Behavior Skills not attempted. Work on interpersonal skills.",
IF(AF116&gt;=4,
"Outstanding Behavior Skills. ",
IF(AF116&gt;=2,
"Good Behavior Skills. ",
"Needs improvement in Behavior Skills. "))) &amp;
IF(AG116=0,
"Role Fitment not attempted. Assess your fit for the role.",
IF(AG116&gt;=4,
"Outstanding Role Fitment. ",
IF(AG116&gt;=2,
"Good Role Fitment. ",
"Needs improvement in Role Fitment. "))))</f>
        <v>HR Round not attempted. It's essential to participate in all assessments.</v>
      </c>
      <c r="AL116" s="65">
        <f>SUM(J116,R116,Z116,AH116)</f>
        <v>0</v>
      </c>
      <c r="AM116" s="57">
        <v>0</v>
      </c>
      <c r="AN116" s="70">
        <v>150</v>
      </c>
      <c r="AO116" s="64" t="s">
        <v>259</v>
      </c>
      <c r="AP116" s="52" t="str">
        <f>IF(AND(J116=0,R116=0,Z116=0,AH116=0),
"No participation in any assessment. Please ensure participation in future evaluations.",
IF(J116=0,
"Online Assessment not attempted. Focus on improving basic skills.",
IF(J116&gt;=67.5,
"Outstanding performance in Online Assessment. ",
IF(J116&gt;=45,
"Good performance in Online Assessment. ",
"Needs improvement in Online Assessment. "))) &amp;
IF(R116=0,
"Personal Interview not attempted. Active engagement is essential.",
IF(R116&gt;=16,
"Outstanding performance in Personal Interview. ",
IF(R116&gt;=10,
"Good performance in Personal Interview. ",
"Needs improvement in Personal Interview. "))) &amp;
IF(Z116=0,
"GD Round not attempted. Active participation is crucial.",
IF(Z116&gt;=16,
"Outstanding performance in GD Round. ",
IF(Z116&gt;=10,
"Good performance in GD Round. ",
"Needs improvement in GD Round. "))) &amp;
IF(AH116=0,
"HR Round not attempted. Engage in the assessment process.",
IF(AH116&gt;=16,
"Outstanding performance in HR Round. ",
IF(AH116&gt;=10,
"Good performance in HR Round. ",
"Needs improvement in HR Round."))))</f>
        <v>No participation in any assessment. Please ensure participation in future evaluations.</v>
      </c>
    </row>
  </sheetData>
  <sortState xmlns:xlrd2="http://schemas.microsoft.com/office/spreadsheetml/2017/richdata2" ref="A4:AP118">
    <sortCondition ref="A3:A118"/>
  </sortState>
  <mergeCells count="1">
    <mergeCell ref="H2:J2"/>
  </mergeCells>
  <phoneticPr fontId="12" type="noConversion"/>
  <conditionalFormatting sqref="C4">
    <cfRule type="duplicateValues" dxfId="2" priority="3"/>
  </conditionalFormatting>
  <conditionalFormatting sqref="C18">
    <cfRule type="duplicateValues" dxfId="1" priority="2"/>
  </conditionalFormatting>
  <conditionalFormatting sqref="C28">
    <cfRule type="duplicateValues" dxfId="0" priority="1"/>
  </conditionalFormatting>
  <dataValidations count="1">
    <dataValidation allowBlank="1" showErrorMessage="1" sqref="H4:I4 H67:I1048576" xr:uid="{00000000-0002-0000-0000-000000000000}"/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bhati</dc:creator>
  <cp:lastModifiedBy>Shivam Rathour</cp:lastModifiedBy>
  <dcterms:created xsi:type="dcterms:W3CDTF">2024-09-20T09:03:00Z</dcterms:created>
  <dcterms:modified xsi:type="dcterms:W3CDTF">2024-10-01T04:37:07Z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295E337A62714F17A39E1ADB053FC8D3_12</vt:lpwstr>
  </property>
  <property fmtid="{D5CDD505-2E9C-101B-9397-08002B2CF9AE}" pid="3" name="KSOProductBuildVer">
    <vt:lpwstr>1033-12.2.0.18283</vt:lpwstr>
  </property>
</Properties>
</file>